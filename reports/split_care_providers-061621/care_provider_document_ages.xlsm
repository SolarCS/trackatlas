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09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cgianelle/CipherHealth/Sandbox/nodejs/trackatlas/reports/split_care_providers/"/>
    </mc:Choice>
  </mc:AlternateContent>
  <xr:revisionPtr revIDLastSave="0" documentId="13_ncr:1_{FF8D7F8A-1331-6046-82EF-47C4BC26DCBD}" xr6:coauthVersionLast="47" xr6:coauthVersionMax="47" xr10:uidLastSave="{00000000-0000-0000-0000-000000000000}"/>
  <bookViews>
    <workbookView xWindow="35840" yWindow="460" windowWidth="38400" windowHeight="21140" activeTab="2" xr2:uid="{00000000-000D-0000-FFFF-FFFF00000000}"/>
  </bookViews>
  <sheets>
    <sheet name="cp_doc_counts_5-16-21" sheetId="3" r:id="rId1"/>
    <sheet name="5-16-21 Collection Byte Sizes" sheetId="9" r:id="rId2"/>
    <sheet name="documents_last_updated_2-16-21" sheetId="1" r:id="rId3"/>
    <sheet name="2-16-21 Collection Byte Sizes" sheetId="6" r:id="rId4"/>
    <sheet name="documents_last_updated_5-16-20" sheetId="2" r:id="rId5"/>
    <sheet name="5-16-20 Collection Byte Sizes" sheetId="7" r:id="rId6"/>
    <sheet name="Size Approximations" sheetId="8" r:id="rId7"/>
    <sheet name="Document Obj Sizes" sheetId="5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Q194" i="1" l="1"/>
  <c r="Q2" i="1"/>
  <c r="Q3" i="1"/>
  <c r="Q4" i="1"/>
  <c r="Q5" i="1"/>
  <c r="Q6" i="1"/>
  <c r="Q7" i="1"/>
  <c r="Q8" i="1"/>
  <c r="Q9" i="1"/>
  <c r="Q10" i="1"/>
  <c r="Q11" i="1"/>
  <c r="Q12" i="1"/>
  <c r="Q13" i="1"/>
  <c r="Q14" i="1"/>
  <c r="Q15" i="1"/>
  <c r="Q16" i="1"/>
  <c r="Q17" i="1"/>
  <c r="Q18" i="1"/>
  <c r="Q19" i="1"/>
  <c r="Q20" i="1"/>
  <c r="Q21" i="1"/>
  <c r="Q22" i="1"/>
  <c r="Q23" i="1"/>
  <c r="Q24" i="1"/>
  <c r="Q25" i="1"/>
  <c r="Q26" i="1"/>
  <c r="Q27" i="1"/>
  <c r="Q28" i="1"/>
  <c r="Q29" i="1"/>
  <c r="Q30" i="1"/>
  <c r="Q31" i="1"/>
  <c r="Q32" i="1"/>
  <c r="Q33" i="1"/>
  <c r="Q34" i="1"/>
  <c r="Q35" i="1"/>
  <c r="Q36" i="1"/>
  <c r="Q37" i="1"/>
  <c r="Q38" i="1"/>
  <c r="Q39" i="1"/>
  <c r="Q40" i="1"/>
  <c r="Q41" i="1"/>
  <c r="Q42" i="1"/>
  <c r="Q43" i="1"/>
  <c r="Q44" i="1"/>
  <c r="Q45" i="1"/>
  <c r="Q46" i="1"/>
  <c r="Q47" i="1"/>
  <c r="Q48" i="1"/>
  <c r="Q49" i="1"/>
  <c r="Q50" i="1"/>
  <c r="Q51" i="1"/>
  <c r="Q52" i="1"/>
  <c r="Q53" i="1"/>
  <c r="Q54" i="1"/>
  <c r="Q55" i="1"/>
  <c r="Q56" i="1"/>
  <c r="Q57" i="1"/>
  <c r="Q58" i="1"/>
  <c r="Q59" i="1"/>
  <c r="Q60" i="1"/>
  <c r="Q61" i="1"/>
  <c r="Q62" i="1"/>
  <c r="Q63" i="1"/>
  <c r="Q64" i="1"/>
  <c r="Q65" i="1"/>
  <c r="Q66" i="1"/>
  <c r="Q67" i="1"/>
  <c r="Q68" i="1"/>
  <c r="Q69" i="1"/>
  <c r="Q70" i="1"/>
  <c r="Q71" i="1"/>
  <c r="Q72" i="1"/>
  <c r="Q73" i="1"/>
  <c r="Q74" i="1"/>
  <c r="Q75" i="1"/>
  <c r="Q76" i="1"/>
  <c r="Q77" i="1"/>
  <c r="Q78" i="1"/>
  <c r="Q79" i="1"/>
  <c r="Q80" i="1"/>
  <c r="Q81" i="1"/>
  <c r="Q82" i="1"/>
  <c r="Q83" i="1"/>
  <c r="Q84" i="1"/>
  <c r="Q85" i="1"/>
  <c r="Q86" i="1"/>
  <c r="Q87" i="1"/>
  <c r="Q88" i="1"/>
  <c r="Q89" i="1"/>
  <c r="Q90" i="1"/>
  <c r="Q91" i="1"/>
  <c r="Q92" i="1"/>
  <c r="Q93" i="1"/>
  <c r="Q94" i="1"/>
  <c r="Q95" i="1"/>
  <c r="Q96" i="1"/>
  <c r="Q97" i="1"/>
  <c r="Q98" i="1"/>
  <c r="Q99" i="1"/>
  <c r="Q100" i="1"/>
  <c r="Q101" i="1"/>
  <c r="Q102" i="1"/>
  <c r="Q103" i="1"/>
  <c r="Q104" i="1"/>
  <c r="Q105" i="1"/>
  <c r="Q106" i="1"/>
  <c r="Q107" i="1"/>
  <c r="Q108" i="1"/>
  <c r="Q109" i="1"/>
  <c r="Q110" i="1"/>
  <c r="Q111" i="1"/>
  <c r="Q112" i="1"/>
  <c r="Q113" i="1"/>
  <c r="Q114" i="1"/>
  <c r="Q115" i="1"/>
  <c r="Q116" i="1"/>
  <c r="Q117" i="1"/>
  <c r="Q118" i="1"/>
  <c r="Q119" i="1"/>
  <c r="Q120" i="1"/>
  <c r="Q121" i="1"/>
  <c r="Q122" i="1"/>
  <c r="Q123" i="1"/>
  <c r="Q124" i="1"/>
  <c r="Q125" i="1"/>
  <c r="Q126" i="1"/>
  <c r="Q127" i="1"/>
  <c r="Q128" i="1"/>
  <c r="Q129" i="1"/>
  <c r="Q130" i="1"/>
  <c r="Q131" i="1"/>
  <c r="Q132" i="1"/>
  <c r="Q133" i="1"/>
  <c r="Q134" i="1"/>
  <c r="Q135" i="1"/>
  <c r="Q136" i="1"/>
  <c r="Q137" i="1"/>
  <c r="Q138" i="1"/>
  <c r="Q139" i="1"/>
  <c r="Q140" i="1"/>
  <c r="Q141" i="1"/>
  <c r="Q142" i="1"/>
  <c r="Q143" i="1"/>
  <c r="Q144" i="1"/>
  <c r="Q145" i="1"/>
  <c r="Q146" i="1"/>
  <c r="Q147" i="1"/>
  <c r="Q148" i="1"/>
  <c r="Q149" i="1"/>
  <c r="Q150" i="1"/>
  <c r="Q151" i="1"/>
  <c r="Q152" i="1"/>
  <c r="Q153" i="1"/>
  <c r="Q154" i="1"/>
  <c r="Q155" i="1"/>
  <c r="Q156" i="1"/>
  <c r="Q157" i="1"/>
  <c r="Q158" i="1"/>
  <c r="Q159" i="1"/>
  <c r="Q160" i="1"/>
  <c r="Q161" i="1"/>
  <c r="Q162" i="1"/>
  <c r="Q163" i="1"/>
  <c r="Q164" i="1"/>
  <c r="Q165" i="1"/>
  <c r="Q166" i="1"/>
  <c r="Q167" i="1"/>
  <c r="Q168" i="1"/>
  <c r="Q169" i="1"/>
  <c r="Q170" i="1"/>
  <c r="Q171" i="1"/>
  <c r="Q172" i="1"/>
  <c r="Q173" i="1"/>
  <c r="Q174" i="1"/>
  <c r="Q175" i="1"/>
  <c r="Q176" i="1"/>
  <c r="Q177" i="1"/>
  <c r="Q178" i="1"/>
  <c r="Q179" i="1"/>
  <c r="Q180" i="1"/>
  <c r="Q181" i="1"/>
  <c r="Q182" i="1"/>
  <c r="Q183" i="1"/>
  <c r="Q184" i="1"/>
  <c r="Q185" i="1"/>
  <c r="Q186" i="1"/>
  <c r="Q187" i="1"/>
  <c r="Q188" i="1"/>
  <c r="Q189" i="1"/>
  <c r="Q190" i="1"/>
  <c r="Q191" i="1"/>
  <c r="Q192" i="1"/>
  <c r="Q193" i="1"/>
  <c r="Q194" i="2"/>
  <c r="Q193" i="2"/>
  <c r="Q192" i="2"/>
  <c r="Q191" i="2"/>
  <c r="Q190" i="2"/>
  <c r="Q189" i="2"/>
  <c r="Q188" i="2"/>
  <c r="Q187" i="2"/>
  <c r="Q186" i="2"/>
  <c r="Q185" i="2"/>
  <c r="Q184" i="2"/>
  <c r="Q183" i="2"/>
  <c r="Q182" i="2"/>
  <c r="Q181" i="2"/>
  <c r="Q180" i="2"/>
  <c r="Q179" i="2"/>
  <c r="Q178" i="2"/>
  <c r="Q177" i="2"/>
  <c r="Q176" i="2"/>
  <c r="Q175" i="2"/>
  <c r="Q174" i="2"/>
  <c r="Q173" i="2"/>
  <c r="Q172" i="2"/>
  <c r="Q171" i="2"/>
  <c r="Q170" i="2"/>
  <c r="Q169" i="2"/>
  <c r="Q168" i="2"/>
  <c r="Q167" i="2"/>
  <c r="Q166" i="2"/>
  <c r="Q165" i="2"/>
  <c r="Q164" i="2"/>
  <c r="Q163" i="2"/>
  <c r="Q162" i="2"/>
  <c r="Q161" i="2"/>
  <c r="Q160" i="2"/>
  <c r="Q159" i="2"/>
  <c r="Q158" i="2"/>
  <c r="Q157" i="2"/>
  <c r="Q156" i="2"/>
  <c r="Q155" i="2"/>
  <c r="Q154" i="2"/>
  <c r="Q153" i="2"/>
  <c r="Q152" i="2"/>
  <c r="Q151" i="2"/>
  <c r="Q150" i="2"/>
  <c r="Q149" i="2"/>
  <c r="Q148" i="2"/>
  <c r="Q147" i="2"/>
  <c r="Q146" i="2"/>
  <c r="Q145" i="2"/>
  <c r="Q144" i="2"/>
  <c r="Q143" i="2"/>
  <c r="Q142" i="2"/>
  <c r="Q141" i="2"/>
  <c r="Q140" i="2"/>
  <c r="Q139" i="2"/>
  <c r="Q138" i="2"/>
  <c r="Q137" i="2"/>
  <c r="Q136" i="2"/>
  <c r="Q135" i="2"/>
  <c r="Q134" i="2"/>
  <c r="Q133" i="2"/>
  <c r="Q132" i="2"/>
  <c r="Q131" i="2"/>
  <c r="Q130" i="2"/>
  <c r="Q129" i="2"/>
  <c r="Q128" i="2"/>
  <c r="Q127" i="2"/>
  <c r="Q126" i="2"/>
  <c r="Q125" i="2"/>
  <c r="Q124" i="2"/>
  <c r="Q123" i="2"/>
  <c r="Q122" i="2"/>
  <c r="Q121" i="2"/>
  <c r="Q120" i="2"/>
  <c r="Q119" i="2"/>
  <c r="Q118" i="2"/>
  <c r="Q117" i="2"/>
  <c r="Q116" i="2"/>
  <c r="Q115" i="2"/>
  <c r="Q114" i="2"/>
  <c r="Q113" i="2"/>
  <c r="Q112" i="2"/>
  <c r="Q111" i="2"/>
  <c r="Q110" i="2"/>
  <c r="Q109" i="2"/>
  <c r="Q108" i="2"/>
  <c r="Q107" i="2"/>
  <c r="Q106" i="2"/>
  <c r="Q105" i="2"/>
  <c r="Q104" i="2"/>
  <c r="Q103" i="2"/>
  <c r="Q102" i="2"/>
  <c r="Q101" i="2"/>
  <c r="Q100" i="2"/>
  <c r="Q99" i="2"/>
  <c r="Q98" i="2"/>
  <c r="Q97" i="2"/>
  <c r="Q96" i="2"/>
  <c r="Q95" i="2"/>
  <c r="Q94" i="2"/>
  <c r="Q93" i="2"/>
  <c r="Q92" i="2"/>
  <c r="Q91" i="2"/>
  <c r="Q90" i="2"/>
  <c r="Q89" i="2"/>
  <c r="Q88" i="2"/>
  <c r="Q87" i="2"/>
  <c r="Q86" i="2"/>
  <c r="Q85" i="2"/>
  <c r="Q84" i="2"/>
  <c r="Q83" i="2"/>
  <c r="Q82" i="2"/>
  <c r="Q81" i="2"/>
  <c r="Q80" i="2"/>
  <c r="Q79" i="2"/>
  <c r="Q78" i="2"/>
  <c r="Q77" i="2"/>
  <c r="Q76" i="2"/>
  <c r="Q75" i="2"/>
  <c r="Q74" i="2"/>
  <c r="Q73" i="2"/>
  <c r="Q72" i="2"/>
  <c r="Q71" i="2"/>
  <c r="Q70" i="2"/>
  <c r="Q69" i="2"/>
  <c r="Q68" i="2"/>
  <c r="Q67" i="2"/>
  <c r="Q66" i="2"/>
  <c r="Q65" i="2"/>
  <c r="Q64" i="2"/>
  <c r="Q63" i="2"/>
  <c r="Q62" i="2"/>
  <c r="Q61" i="2"/>
  <c r="Q60" i="2"/>
  <c r="Q59" i="2"/>
  <c r="Q58" i="2"/>
  <c r="Q57" i="2"/>
  <c r="Q56" i="2"/>
  <c r="Q55" i="2"/>
  <c r="Q54" i="2"/>
  <c r="Q53" i="2"/>
  <c r="Q52" i="2"/>
  <c r="Q51" i="2"/>
  <c r="Q50" i="2"/>
  <c r="Q49" i="2"/>
  <c r="Q48" i="2"/>
  <c r="Q47" i="2"/>
  <c r="Q46" i="2"/>
  <c r="Q45" i="2"/>
  <c r="Q44" i="2"/>
  <c r="Q43" i="2"/>
  <c r="Q42" i="2"/>
  <c r="Q41" i="2"/>
  <c r="Q40" i="2"/>
  <c r="Q39" i="2"/>
  <c r="Q38" i="2"/>
  <c r="Q37" i="2"/>
  <c r="Q36" i="2"/>
  <c r="Q35" i="2"/>
  <c r="Q34" i="2"/>
  <c r="Q33" i="2"/>
  <c r="Q32" i="2"/>
  <c r="Q31" i="2"/>
  <c r="Q30" i="2"/>
  <c r="Q29" i="2"/>
  <c r="Q28" i="2"/>
  <c r="Q27" i="2"/>
  <c r="Q26" i="2"/>
  <c r="Q25" i="2"/>
  <c r="Q24" i="2"/>
  <c r="Q23" i="2"/>
  <c r="Q22" i="2"/>
  <c r="Q21" i="2"/>
  <c r="Q20" i="2"/>
  <c r="Q19" i="2"/>
  <c r="Q18" i="2"/>
  <c r="Q17" i="2"/>
  <c r="Q16" i="2"/>
  <c r="Q15" i="2"/>
  <c r="Q14" i="2"/>
  <c r="Q13" i="2"/>
  <c r="Q12" i="2"/>
  <c r="Q11" i="2"/>
  <c r="Q10" i="2"/>
  <c r="Q9" i="2"/>
  <c r="Q8" i="2"/>
  <c r="Q7" i="2"/>
  <c r="Q6" i="2"/>
  <c r="Q5" i="2"/>
  <c r="Q4" i="2"/>
  <c r="Q3" i="2"/>
  <c r="Q2" i="2"/>
  <c r="B2" i="8"/>
  <c r="C2" i="8"/>
  <c r="M2" i="9"/>
  <c r="M3" i="9"/>
  <c r="M4" i="9"/>
  <c r="M5" i="9"/>
  <c r="M6" i="9"/>
  <c r="M7" i="9"/>
  <c r="M8" i="9"/>
  <c r="M9" i="9"/>
  <c r="M10" i="9"/>
  <c r="M11" i="9"/>
  <c r="M12" i="9"/>
  <c r="M13" i="9"/>
  <c r="M14" i="9"/>
  <c r="M15" i="9"/>
  <c r="M16" i="9"/>
  <c r="M17" i="9"/>
  <c r="M18" i="9"/>
  <c r="M19" i="9"/>
  <c r="M20" i="9"/>
  <c r="M21" i="9"/>
  <c r="M22" i="9"/>
  <c r="M23" i="9"/>
  <c r="M24" i="9"/>
  <c r="M25" i="9"/>
  <c r="M26" i="9"/>
  <c r="M27" i="9"/>
  <c r="M28" i="9"/>
  <c r="M29" i="9"/>
  <c r="M30" i="9"/>
  <c r="M31" i="9"/>
  <c r="M32" i="9"/>
  <c r="M33" i="9"/>
  <c r="M34" i="9"/>
  <c r="M35" i="9"/>
  <c r="M36" i="9"/>
  <c r="M37" i="9"/>
  <c r="M38" i="9"/>
  <c r="M39" i="9"/>
  <c r="M40" i="9"/>
  <c r="M41" i="9"/>
  <c r="M42" i="9"/>
  <c r="M43" i="9"/>
  <c r="M44" i="9"/>
  <c r="M45" i="9"/>
  <c r="M46" i="9"/>
  <c r="M47" i="9"/>
  <c r="M48" i="9"/>
  <c r="M49" i="9"/>
  <c r="M50" i="9"/>
  <c r="M51" i="9"/>
  <c r="M52" i="9"/>
  <c r="M53" i="9"/>
  <c r="M54" i="9"/>
  <c r="M55" i="9"/>
  <c r="M56" i="9"/>
  <c r="M57" i="9"/>
  <c r="M58" i="9"/>
  <c r="M59" i="9"/>
  <c r="M60" i="9"/>
  <c r="M61" i="9"/>
  <c r="M62" i="9"/>
  <c r="M63" i="9"/>
  <c r="M64" i="9"/>
  <c r="M65" i="9"/>
  <c r="M66" i="9"/>
  <c r="M67" i="9"/>
  <c r="M68" i="9"/>
  <c r="M69" i="9"/>
  <c r="M70" i="9"/>
  <c r="M71" i="9"/>
  <c r="M72" i="9"/>
  <c r="M73" i="9"/>
  <c r="M74" i="9"/>
  <c r="M75" i="9"/>
  <c r="M76" i="9"/>
  <c r="M77" i="9"/>
  <c r="M78" i="9"/>
  <c r="M79" i="9"/>
  <c r="M80" i="9"/>
  <c r="M81" i="9"/>
  <c r="M82" i="9"/>
  <c r="M83" i="9"/>
  <c r="M84" i="9"/>
  <c r="M85" i="9"/>
  <c r="M86" i="9"/>
  <c r="M87" i="9"/>
  <c r="M88" i="9"/>
  <c r="M89" i="9"/>
  <c r="M90" i="9"/>
  <c r="M91" i="9"/>
  <c r="M92" i="9"/>
  <c r="M93" i="9"/>
  <c r="M94" i="9"/>
  <c r="M95" i="9"/>
  <c r="M96" i="9"/>
  <c r="M97" i="9"/>
  <c r="M98" i="9"/>
  <c r="M99" i="9"/>
  <c r="M100" i="9"/>
  <c r="M101" i="9"/>
  <c r="M102" i="9"/>
  <c r="M103" i="9"/>
  <c r="M104" i="9"/>
  <c r="M105" i="9"/>
  <c r="M106" i="9"/>
  <c r="M107" i="9"/>
  <c r="M108" i="9"/>
  <c r="M109" i="9"/>
  <c r="M110" i="9"/>
  <c r="M111" i="9"/>
  <c r="M112" i="9"/>
  <c r="M113" i="9"/>
  <c r="M114" i="9"/>
  <c r="M115" i="9"/>
  <c r="M116" i="9"/>
  <c r="M117" i="9"/>
  <c r="M118" i="9"/>
  <c r="M119" i="9"/>
  <c r="M120" i="9"/>
  <c r="M121" i="9"/>
  <c r="M122" i="9"/>
  <c r="M123" i="9"/>
  <c r="M124" i="9"/>
  <c r="M125" i="9"/>
  <c r="M126" i="9"/>
  <c r="M127" i="9"/>
  <c r="M128" i="9"/>
  <c r="M129" i="9"/>
  <c r="M130" i="9"/>
  <c r="M131" i="9"/>
  <c r="M132" i="9"/>
  <c r="M133" i="9"/>
  <c r="M134" i="9"/>
  <c r="M135" i="9"/>
  <c r="M136" i="9"/>
  <c r="M137" i="9"/>
  <c r="M138" i="9"/>
  <c r="M139" i="9"/>
  <c r="M140" i="9"/>
  <c r="M141" i="9"/>
  <c r="M142" i="9"/>
  <c r="M143" i="9"/>
  <c r="M144" i="9"/>
  <c r="M145" i="9"/>
  <c r="M146" i="9"/>
  <c r="M147" i="9"/>
  <c r="M148" i="9"/>
  <c r="M149" i="9"/>
  <c r="M150" i="9"/>
  <c r="M151" i="9"/>
  <c r="M152" i="9"/>
  <c r="M153" i="9"/>
  <c r="M154" i="9"/>
  <c r="M155" i="9"/>
  <c r="M156" i="9"/>
  <c r="M157" i="9"/>
  <c r="M158" i="9"/>
  <c r="M159" i="9"/>
  <c r="M160" i="9"/>
  <c r="M161" i="9"/>
  <c r="M162" i="9"/>
  <c r="M163" i="9"/>
  <c r="M164" i="9"/>
  <c r="M165" i="9"/>
  <c r="M166" i="9"/>
  <c r="M167" i="9"/>
  <c r="M168" i="9"/>
  <c r="M169" i="9"/>
  <c r="M170" i="9"/>
  <c r="M171" i="9"/>
  <c r="M172" i="9"/>
  <c r="M173" i="9"/>
  <c r="M174" i="9"/>
  <c r="M175" i="9"/>
  <c r="M176" i="9"/>
  <c r="M177" i="9"/>
  <c r="M178" i="9"/>
  <c r="M179" i="9"/>
  <c r="M180" i="9"/>
  <c r="M181" i="9"/>
  <c r="M182" i="9"/>
  <c r="M183" i="9"/>
  <c r="M184" i="9"/>
  <c r="M185" i="9"/>
  <c r="M186" i="9"/>
  <c r="M187" i="9"/>
  <c r="M188" i="9"/>
  <c r="M189" i="9"/>
  <c r="M190" i="9"/>
  <c r="M191" i="9"/>
  <c r="M192" i="9"/>
  <c r="M193" i="9"/>
  <c r="L2" i="9"/>
  <c r="L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103" i="9"/>
  <c r="L104" i="9"/>
  <c r="L105" i="9"/>
  <c r="L106" i="9"/>
  <c r="L107" i="9"/>
  <c r="L108" i="9"/>
  <c r="L109" i="9"/>
  <c r="L110" i="9"/>
  <c r="L111" i="9"/>
  <c r="L112" i="9"/>
  <c r="L113" i="9"/>
  <c r="L114" i="9"/>
  <c r="L115" i="9"/>
  <c r="L116" i="9"/>
  <c r="L117" i="9"/>
  <c r="L118" i="9"/>
  <c r="L119" i="9"/>
  <c r="L120" i="9"/>
  <c r="L121" i="9"/>
  <c r="L122" i="9"/>
  <c r="L123" i="9"/>
  <c r="L124" i="9"/>
  <c r="L125" i="9"/>
  <c r="L126" i="9"/>
  <c r="L127" i="9"/>
  <c r="L128" i="9"/>
  <c r="L129" i="9"/>
  <c r="L130" i="9"/>
  <c r="L131" i="9"/>
  <c r="L132" i="9"/>
  <c r="L133" i="9"/>
  <c r="L134" i="9"/>
  <c r="L135" i="9"/>
  <c r="L136" i="9"/>
  <c r="L137" i="9"/>
  <c r="L138" i="9"/>
  <c r="L139" i="9"/>
  <c r="L140" i="9"/>
  <c r="L141" i="9"/>
  <c r="L142" i="9"/>
  <c r="L143" i="9"/>
  <c r="L144" i="9"/>
  <c r="L145" i="9"/>
  <c r="L146" i="9"/>
  <c r="L147" i="9"/>
  <c r="L148" i="9"/>
  <c r="L149" i="9"/>
  <c r="L150" i="9"/>
  <c r="L151" i="9"/>
  <c r="L152" i="9"/>
  <c r="L153" i="9"/>
  <c r="L154" i="9"/>
  <c r="L155" i="9"/>
  <c r="L156" i="9"/>
  <c r="L157" i="9"/>
  <c r="L158" i="9"/>
  <c r="L159" i="9"/>
  <c r="L160" i="9"/>
  <c r="L161" i="9"/>
  <c r="L162" i="9"/>
  <c r="L163" i="9"/>
  <c r="L164" i="9"/>
  <c r="L165" i="9"/>
  <c r="L166" i="9"/>
  <c r="L167" i="9"/>
  <c r="L168" i="9"/>
  <c r="L169" i="9"/>
  <c r="L170" i="9"/>
  <c r="L171" i="9"/>
  <c r="L172" i="9"/>
  <c r="L173" i="9"/>
  <c r="L174" i="9"/>
  <c r="L175" i="9"/>
  <c r="L176" i="9"/>
  <c r="L177" i="9"/>
  <c r="L178" i="9"/>
  <c r="L179" i="9"/>
  <c r="L180" i="9"/>
  <c r="L181" i="9"/>
  <c r="L182" i="9"/>
  <c r="L183" i="9"/>
  <c r="L184" i="9"/>
  <c r="L185" i="9"/>
  <c r="L186" i="9"/>
  <c r="L187" i="9"/>
  <c r="L188" i="9"/>
  <c r="L189" i="9"/>
  <c r="L190" i="9"/>
  <c r="L191" i="9"/>
  <c r="L192" i="9"/>
  <c r="L193" i="9"/>
  <c r="C3" i="8"/>
  <c r="B3" i="8"/>
  <c r="L126" i="7"/>
  <c r="M126" i="7" s="1"/>
  <c r="L123" i="7"/>
  <c r="M123" i="7" s="1"/>
  <c r="L79" i="7"/>
  <c r="M79" i="7" s="1"/>
  <c r="L150" i="7"/>
  <c r="M150" i="7" s="1"/>
  <c r="L58" i="7"/>
  <c r="M58" i="7" s="1"/>
  <c r="L17" i="7"/>
  <c r="M17" i="7" s="1"/>
  <c r="L173" i="7"/>
  <c r="M173" i="7" s="1"/>
  <c r="L76" i="7"/>
  <c r="M76" i="7" s="1"/>
  <c r="L112" i="7"/>
  <c r="M112" i="7" s="1"/>
  <c r="L70" i="7"/>
  <c r="M70" i="7" s="1"/>
  <c r="L4" i="7"/>
  <c r="M4" i="7" s="1"/>
  <c r="L109" i="7"/>
  <c r="M109" i="7" s="1"/>
  <c r="L129" i="7"/>
  <c r="M129" i="7" s="1"/>
  <c r="L111" i="7"/>
  <c r="M111" i="7" s="1"/>
  <c r="L136" i="7"/>
  <c r="M136" i="7" s="1"/>
  <c r="L77" i="7"/>
  <c r="M77" i="7" s="1"/>
  <c r="L39" i="7"/>
  <c r="M39" i="7" s="1"/>
  <c r="L180" i="7"/>
  <c r="M180" i="7" s="1"/>
  <c r="L175" i="7"/>
  <c r="M175" i="7" s="1"/>
  <c r="L14" i="7"/>
  <c r="M14" i="7" s="1"/>
  <c r="L146" i="7"/>
  <c r="M146" i="7" s="1"/>
  <c r="L60" i="7"/>
  <c r="M60" i="7" s="1"/>
  <c r="L23" i="7"/>
  <c r="M23" i="7" s="1"/>
  <c r="L157" i="7"/>
  <c r="M157" i="7" s="1"/>
  <c r="L12" i="7"/>
  <c r="M12" i="7" s="1"/>
  <c r="L43" i="7"/>
  <c r="M43" i="7" s="1"/>
  <c r="L84" i="7"/>
  <c r="M84" i="7" s="1"/>
  <c r="L160" i="7"/>
  <c r="M160" i="7" s="1"/>
  <c r="L101" i="7"/>
  <c r="M101" i="7" s="1"/>
  <c r="L104" i="7"/>
  <c r="M104" i="7" s="1"/>
  <c r="L153" i="7"/>
  <c r="M153" i="7" s="1"/>
  <c r="L135" i="7"/>
  <c r="M135" i="7" s="1"/>
  <c r="L185" i="7"/>
  <c r="M185" i="7" s="1"/>
  <c r="L143" i="7"/>
  <c r="M143" i="7" s="1"/>
  <c r="L18" i="7"/>
  <c r="M18" i="7" s="1"/>
  <c r="L142" i="7"/>
  <c r="M142" i="7" s="1"/>
  <c r="L108" i="7"/>
  <c r="M108" i="7" s="1"/>
  <c r="L82" i="7"/>
  <c r="M82" i="7" s="1"/>
  <c r="L30" i="7"/>
  <c r="M30" i="7" s="1"/>
  <c r="L181" i="7"/>
  <c r="M181" i="7" s="1"/>
  <c r="L182" i="7"/>
  <c r="M182" i="7" s="1"/>
  <c r="L162" i="7"/>
  <c r="M162" i="7" s="1"/>
  <c r="L183" i="7"/>
  <c r="M183" i="7" s="1"/>
  <c r="L31" i="7"/>
  <c r="M31" i="7" s="1"/>
  <c r="L176" i="7"/>
  <c r="M176" i="7" s="1"/>
  <c r="L53" i="7"/>
  <c r="M53" i="7" s="1"/>
  <c r="L5" i="7"/>
  <c r="M5" i="7" s="1"/>
  <c r="L100" i="7"/>
  <c r="M100" i="7" s="1"/>
  <c r="L42" i="7"/>
  <c r="M42" i="7" s="1"/>
  <c r="L48" i="7"/>
  <c r="M48" i="7" s="1"/>
  <c r="L46" i="7"/>
  <c r="M46" i="7" s="1"/>
  <c r="L168" i="7"/>
  <c r="M168" i="7" s="1"/>
  <c r="L159" i="7"/>
  <c r="M159" i="7" s="1"/>
  <c r="L24" i="7"/>
  <c r="M24" i="7" s="1"/>
  <c r="L141" i="7"/>
  <c r="M141" i="7" s="1"/>
  <c r="L154" i="7"/>
  <c r="M154" i="7" s="1"/>
  <c r="L171" i="7"/>
  <c r="M171" i="7" s="1"/>
  <c r="L69" i="7"/>
  <c r="M69" i="7" s="1"/>
  <c r="L178" i="7"/>
  <c r="M178" i="7" s="1"/>
  <c r="L169" i="7"/>
  <c r="M169" i="7" s="1"/>
  <c r="L96" i="7"/>
  <c r="M96" i="7" s="1"/>
  <c r="L186" i="7"/>
  <c r="M186" i="7" s="1"/>
  <c r="L10" i="7"/>
  <c r="M10" i="7" s="1"/>
  <c r="L21" i="7"/>
  <c r="M21" i="7" s="1"/>
  <c r="L98" i="7"/>
  <c r="M98" i="7" s="1"/>
  <c r="L15" i="7"/>
  <c r="M15" i="7" s="1"/>
  <c r="L105" i="7"/>
  <c r="M105" i="7" s="1"/>
  <c r="L116" i="7"/>
  <c r="M116" i="7" s="1"/>
  <c r="L145" i="7"/>
  <c r="M145" i="7" s="1"/>
  <c r="L95" i="7"/>
  <c r="M95" i="7" s="1"/>
  <c r="L117" i="7"/>
  <c r="M117" i="7" s="1"/>
  <c r="L133" i="7"/>
  <c r="M133" i="7" s="1"/>
  <c r="L37" i="7"/>
  <c r="M37" i="7" s="1"/>
  <c r="L174" i="7"/>
  <c r="M174" i="7" s="1"/>
  <c r="L119" i="7"/>
  <c r="M119" i="7" s="1"/>
  <c r="L161" i="7"/>
  <c r="M161" i="7" s="1"/>
  <c r="L102" i="7"/>
  <c r="M102" i="7" s="1"/>
  <c r="L44" i="7"/>
  <c r="M44" i="7" s="1"/>
  <c r="L118" i="7"/>
  <c r="M118" i="7" s="1"/>
  <c r="L158" i="7"/>
  <c r="M158" i="7" s="1"/>
  <c r="L33" i="7"/>
  <c r="M33" i="7" s="1"/>
  <c r="L7" i="7"/>
  <c r="M7" i="7" s="1"/>
  <c r="L87" i="7"/>
  <c r="M87" i="7" s="1"/>
  <c r="L137" i="7"/>
  <c r="M137" i="7" s="1"/>
  <c r="L163" i="7"/>
  <c r="M163" i="7" s="1"/>
  <c r="L167" i="7"/>
  <c r="M167" i="7" s="1"/>
  <c r="L65" i="7"/>
  <c r="M65" i="7" s="1"/>
  <c r="L114" i="7"/>
  <c r="M114" i="7" s="1"/>
  <c r="L99" i="7"/>
  <c r="M99" i="7" s="1"/>
  <c r="L151" i="7"/>
  <c r="M151" i="7" s="1"/>
  <c r="L59" i="7"/>
  <c r="M59" i="7" s="1"/>
  <c r="L71" i="7"/>
  <c r="M71" i="7" s="1"/>
  <c r="L20" i="7"/>
  <c r="M20" i="7" s="1"/>
  <c r="L78" i="7"/>
  <c r="M78" i="7" s="1"/>
  <c r="L184" i="7"/>
  <c r="M184" i="7" s="1"/>
  <c r="L164" i="7"/>
  <c r="M164" i="7" s="1"/>
  <c r="L190" i="7"/>
  <c r="M190" i="7" s="1"/>
  <c r="L125" i="7"/>
  <c r="M125" i="7" s="1"/>
  <c r="L27" i="7"/>
  <c r="M27" i="7" s="1"/>
  <c r="L139" i="7"/>
  <c r="M139" i="7" s="1"/>
  <c r="L63" i="7"/>
  <c r="M63" i="7" s="1"/>
  <c r="L35" i="7"/>
  <c r="M35" i="7" s="1"/>
  <c r="L110" i="7"/>
  <c r="M110" i="7" s="1"/>
  <c r="L188" i="7"/>
  <c r="M188" i="7" s="1"/>
  <c r="L120" i="7"/>
  <c r="M120" i="7" s="1"/>
  <c r="L28" i="7"/>
  <c r="M28" i="7" s="1"/>
  <c r="L57" i="7"/>
  <c r="M57" i="7" s="1"/>
  <c r="L62" i="7"/>
  <c r="M62" i="7" s="1"/>
  <c r="L147" i="7"/>
  <c r="M147" i="7" s="1"/>
  <c r="L93" i="7"/>
  <c r="M93" i="7" s="1"/>
  <c r="L131" i="7"/>
  <c r="M131" i="7" s="1"/>
  <c r="L83" i="7"/>
  <c r="M83" i="7" s="1"/>
  <c r="L177" i="7"/>
  <c r="M177" i="7" s="1"/>
  <c r="L152" i="7"/>
  <c r="M152" i="7" s="1"/>
  <c r="L13" i="7"/>
  <c r="M13" i="7" s="1"/>
  <c r="L19" i="7"/>
  <c r="M19" i="7" s="1"/>
  <c r="L72" i="7"/>
  <c r="M72" i="7" s="1"/>
  <c r="L52" i="7"/>
  <c r="M52" i="7" s="1"/>
  <c r="L140" i="7"/>
  <c r="M140" i="7" s="1"/>
  <c r="L192" i="7"/>
  <c r="M192" i="7" s="1"/>
  <c r="L107" i="7"/>
  <c r="M107" i="7" s="1"/>
  <c r="L6" i="7"/>
  <c r="M6" i="7" s="1"/>
  <c r="L40" i="7"/>
  <c r="M40" i="7" s="1"/>
  <c r="L81" i="7"/>
  <c r="M81" i="7" s="1"/>
  <c r="L97" i="7"/>
  <c r="M97" i="7" s="1"/>
  <c r="L36" i="7"/>
  <c r="M36" i="7" s="1"/>
  <c r="L170" i="7"/>
  <c r="M170" i="7" s="1"/>
  <c r="L148" i="7"/>
  <c r="M148" i="7" s="1"/>
  <c r="L38" i="7"/>
  <c r="M38" i="7" s="1"/>
  <c r="L88" i="7"/>
  <c r="M88" i="7" s="1"/>
  <c r="L134" i="7"/>
  <c r="M134" i="7" s="1"/>
  <c r="L26" i="7"/>
  <c r="M26" i="7" s="1"/>
  <c r="L179" i="7"/>
  <c r="M179" i="7" s="1"/>
  <c r="L144" i="7"/>
  <c r="M144" i="7" s="1"/>
  <c r="L155" i="7"/>
  <c r="M155" i="7" s="1"/>
  <c r="L106" i="7"/>
  <c r="M106" i="7" s="1"/>
  <c r="L124" i="7"/>
  <c r="M124" i="7" s="1"/>
  <c r="L193" i="7"/>
  <c r="M193" i="7" s="1"/>
  <c r="L115" i="7"/>
  <c r="M115" i="7" s="1"/>
  <c r="L89" i="7"/>
  <c r="M89" i="7" s="1"/>
  <c r="L66" i="7"/>
  <c r="M66" i="7" s="1"/>
  <c r="L138" i="7"/>
  <c r="M138" i="7" s="1"/>
  <c r="L50" i="7"/>
  <c r="M50" i="7" s="1"/>
  <c r="L47" i="7"/>
  <c r="M47" i="7" s="1"/>
  <c r="L187" i="7"/>
  <c r="M187" i="7" s="1"/>
  <c r="L156" i="7"/>
  <c r="M156" i="7" s="1"/>
  <c r="L91" i="7"/>
  <c r="M91" i="7" s="1"/>
  <c r="L67" i="7"/>
  <c r="M67" i="7" s="1"/>
  <c r="L132" i="7"/>
  <c r="M132" i="7" s="1"/>
  <c r="L34" i="7"/>
  <c r="M34" i="7" s="1"/>
  <c r="L61" i="7"/>
  <c r="M61" i="7" s="1"/>
  <c r="L166" i="7"/>
  <c r="M166" i="7" s="1"/>
  <c r="L75" i="7"/>
  <c r="M75" i="7" s="1"/>
  <c r="L103" i="7"/>
  <c r="M103" i="7" s="1"/>
  <c r="L90" i="7"/>
  <c r="M90" i="7" s="1"/>
  <c r="L11" i="7"/>
  <c r="M11" i="7" s="1"/>
  <c r="L49" i="7"/>
  <c r="M49" i="7" s="1"/>
  <c r="L149" i="7"/>
  <c r="M149" i="7" s="1"/>
  <c r="L92" i="7"/>
  <c r="M92" i="7" s="1"/>
  <c r="L29" i="7"/>
  <c r="M29" i="7" s="1"/>
  <c r="L85" i="7"/>
  <c r="M85" i="7" s="1"/>
  <c r="L165" i="7"/>
  <c r="M165" i="7" s="1"/>
  <c r="L86" i="7"/>
  <c r="M86" i="7" s="1"/>
  <c r="L122" i="7"/>
  <c r="M122" i="7" s="1"/>
  <c r="L191" i="7"/>
  <c r="M191" i="7" s="1"/>
  <c r="L16" i="7"/>
  <c r="M16" i="7" s="1"/>
  <c r="L80" i="7"/>
  <c r="M80" i="7" s="1"/>
  <c r="L56" i="7"/>
  <c r="M56" i="7" s="1"/>
  <c r="L127" i="7"/>
  <c r="M127" i="7" s="1"/>
  <c r="L94" i="7"/>
  <c r="M94" i="7" s="1"/>
  <c r="L172" i="7"/>
  <c r="M172" i="7" s="1"/>
  <c r="L22" i="7"/>
  <c r="M22" i="7" s="1"/>
  <c r="L41" i="7"/>
  <c r="M41" i="7" s="1"/>
  <c r="L2" i="7"/>
  <c r="M2" i="7" s="1"/>
  <c r="L55" i="7"/>
  <c r="M55" i="7" s="1"/>
  <c r="L73" i="7"/>
  <c r="M73" i="7" s="1"/>
  <c r="L45" i="7"/>
  <c r="M45" i="7" s="1"/>
  <c r="L25" i="7"/>
  <c r="M25" i="7" s="1"/>
  <c r="L3" i="7"/>
  <c r="M3" i="7" s="1"/>
  <c r="L8" i="7"/>
  <c r="M8" i="7" s="1"/>
  <c r="L189" i="7"/>
  <c r="M189" i="7" s="1"/>
  <c r="L130" i="7"/>
  <c r="M130" i="7" s="1"/>
  <c r="L54" i="7"/>
  <c r="M54" i="7" s="1"/>
  <c r="L74" i="7"/>
  <c r="M74" i="7" s="1"/>
  <c r="L9" i="7"/>
  <c r="M9" i="7" s="1"/>
  <c r="L68" i="7"/>
  <c r="M68" i="7" s="1"/>
  <c r="L113" i="7"/>
  <c r="M113" i="7" s="1"/>
  <c r="L121" i="7"/>
  <c r="M121" i="7" s="1"/>
  <c r="L128" i="7"/>
  <c r="M128" i="7" s="1"/>
  <c r="L64" i="7"/>
  <c r="M64" i="7" s="1"/>
  <c r="L51" i="7"/>
  <c r="M51" i="7" s="1"/>
  <c r="L32" i="7"/>
  <c r="M32" i="7" s="1"/>
  <c r="L4" i="6"/>
  <c r="M4" i="6" s="1"/>
  <c r="L12" i="6"/>
  <c r="M12" i="6" s="1"/>
  <c r="L2" i="6"/>
  <c r="M2" i="6" s="1"/>
  <c r="L23" i="6"/>
  <c r="M23" i="6" s="1"/>
  <c r="L16" i="6"/>
  <c r="M16" i="6" s="1"/>
  <c r="L10" i="6"/>
  <c r="M10" i="6" s="1"/>
  <c r="L5" i="6"/>
  <c r="M5" i="6" s="1"/>
  <c r="L28" i="6"/>
  <c r="M28" i="6" s="1"/>
  <c r="L43" i="6"/>
  <c r="M43" i="6" s="1"/>
  <c r="L21" i="6"/>
  <c r="M21" i="6" s="1"/>
  <c r="L19" i="6"/>
  <c r="M19" i="6" s="1"/>
  <c r="L35" i="6"/>
  <c r="M35" i="6" s="1"/>
  <c r="L34" i="6"/>
  <c r="M34" i="6" s="1"/>
  <c r="L24" i="6"/>
  <c r="M24" i="6" s="1"/>
  <c r="L18" i="6"/>
  <c r="M18" i="6" s="1"/>
  <c r="L8" i="6"/>
  <c r="M8" i="6" s="1"/>
  <c r="L9" i="6"/>
  <c r="M9" i="6" s="1"/>
  <c r="L22" i="6"/>
  <c r="M22" i="6" s="1"/>
  <c r="L50" i="6"/>
  <c r="M50" i="6" s="1"/>
  <c r="L27" i="6"/>
  <c r="M27" i="6" s="1"/>
  <c r="L6" i="6"/>
  <c r="M6" i="6" s="1"/>
  <c r="L29" i="6"/>
  <c r="M29" i="6" s="1"/>
  <c r="L17" i="6"/>
  <c r="M17" i="6" s="1"/>
  <c r="L7" i="6"/>
  <c r="M7" i="6" s="1"/>
  <c r="L15" i="6"/>
  <c r="M15" i="6" s="1"/>
  <c r="L68" i="6"/>
  <c r="M68" i="6" s="1"/>
  <c r="L45" i="6"/>
  <c r="M45" i="6" s="1"/>
  <c r="L3" i="6"/>
  <c r="M3" i="6" s="1"/>
  <c r="L37" i="6"/>
  <c r="M37" i="6" s="1"/>
  <c r="L32" i="6"/>
  <c r="M32" i="6" s="1"/>
  <c r="L11" i="6"/>
  <c r="M11" i="6" s="1"/>
  <c r="L25" i="6"/>
  <c r="M25" i="6" s="1"/>
  <c r="L30" i="6"/>
  <c r="M30" i="6" s="1"/>
  <c r="L83" i="6"/>
  <c r="M83" i="6" s="1"/>
  <c r="L31" i="6"/>
  <c r="M31" i="6" s="1"/>
  <c r="L71" i="6"/>
  <c r="M71" i="6" s="1"/>
  <c r="L62" i="6"/>
  <c r="M62" i="6" s="1"/>
  <c r="L94" i="6"/>
  <c r="M94" i="6" s="1"/>
  <c r="L42" i="6"/>
  <c r="M42" i="6" s="1"/>
  <c r="L56" i="6"/>
  <c r="M56" i="6" s="1"/>
  <c r="L54" i="6"/>
  <c r="M54" i="6" s="1"/>
  <c r="L64" i="6"/>
  <c r="M64" i="6" s="1"/>
  <c r="L58" i="6"/>
  <c r="M58" i="6" s="1"/>
  <c r="L33" i="6"/>
  <c r="M33" i="6" s="1"/>
  <c r="L74" i="6"/>
  <c r="M74" i="6" s="1"/>
  <c r="L91" i="6"/>
  <c r="M91" i="6" s="1"/>
  <c r="L57" i="6"/>
  <c r="M57" i="6" s="1"/>
  <c r="L13" i="6"/>
  <c r="M13" i="6" s="1"/>
  <c r="L60" i="6"/>
  <c r="M60" i="6" s="1"/>
  <c r="L81" i="6"/>
  <c r="M81" i="6" s="1"/>
  <c r="L99" i="6"/>
  <c r="M99" i="6" s="1"/>
  <c r="L90" i="6"/>
  <c r="M90" i="6" s="1"/>
  <c r="L76" i="6"/>
  <c r="M76" i="6" s="1"/>
  <c r="L48" i="6"/>
  <c r="M48" i="6" s="1"/>
  <c r="L53" i="6"/>
  <c r="M53" i="6" s="1"/>
  <c r="L14" i="6"/>
  <c r="M14" i="6" s="1"/>
  <c r="L47" i="6"/>
  <c r="M47" i="6" s="1"/>
  <c r="L93" i="6"/>
  <c r="M93" i="6" s="1"/>
  <c r="L36" i="6"/>
  <c r="M36" i="6" s="1"/>
  <c r="L40" i="6"/>
  <c r="M40" i="6" s="1"/>
  <c r="L113" i="6"/>
  <c r="M113" i="6" s="1"/>
  <c r="L102" i="6"/>
  <c r="M102" i="6" s="1"/>
  <c r="L38" i="6"/>
  <c r="M38" i="6" s="1"/>
  <c r="L49" i="6"/>
  <c r="M49" i="6" s="1"/>
  <c r="L84" i="6"/>
  <c r="M84" i="6" s="1"/>
  <c r="L135" i="6"/>
  <c r="M135" i="6" s="1"/>
  <c r="L101" i="6"/>
  <c r="M101" i="6" s="1"/>
  <c r="L41" i="6"/>
  <c r="M41" i="6" s="1"/>
  <c r="L69" i="6"/>
  <c r="M69" i="6" s="1"/>
  <c r="L61" i="6"/>
  <c r="M61" i="6" s="1"/>
  <c r="L26" i="6"/>
  <c r="M26" i="6" s="1"/>
  <c r="L125" i="6"/>
  <c r="M125" i="6" s="1"/>
  <c r="L65" i="6"/>
  <c r="M65" i="6" s="1"/>
  <c r="L20" i="6"/>
  <c r="M20" i="6" s="1"/>
  <c r="L44" i="6"/>
  <c r="M44" i="6" s="1"/>
  <c r="L104" i="6"/>
  <c r="M104" i="6" s="1"/>
  <c r="L52" i="6"/>
  <c r="M52" i="6" s="1"/>
  <c r="L63" i="6"/>
  <c r="M63" i="6" s="1"/>
  <c r="L98" i="6"/>
  <c r="M98" i="6" s="1"/>
  <c r="L82" i="6"/>
  <c r="M82" i="6" s="1"/>
  <c r="L73" i="6"/>
  <c r="M73" i="6" s="1"/>
  <c r="L106" i="6"/>
  <c r="M106" i="6" s="1"/>
  <c r="L75" i="6"/>
  <c r="M75" i="6" s="1"/>
  <c r="L108" i="6"/>
  <c r="M108" i="6" s="1"/>
  <c r="L77" i="6"/>
  <c r="M77" i="6" s="1"/>
  <c r="L118" i="6"/>
  <c r="M118" i="6" s="1"/>
  <c r="L39" i="6"/>
  <c r="M39" i="6" s="1"/>
  <c r="L122" i="6"/>
  <c r="M122" i="6" s="1"/>
  <c r="L128" i="6"/>
  <c r="M128" i="6" s="1"/>
  <c r="L114" i="6"/>
  <c r="M114" i="6" s="1"/>
  <c r="L55" i="6"/>
  <c r="M55" i="6" s="1"/>
  <c r="L88" i="6"/>
  <c r="M88" i="6" s="1"/>
  <c r="L46" i="6"/>
  <c r="M46" i="6" s="1"/>
  <c r="L131" i="6"/>
  <c r="M131" i="6" s="1"/>
  <c r="L121" i="6"/>
  <c r="M121" i="6" s="1"/>
  <c r="L117" i="6"/>
  <c r="M117" i="6" s="1"/>
  <c r="L87" i="6"/>
  <c r="M87" i="6" s="1"/>
  <c r="L59" i="6"/>
  <c r="M59" i="6" s="1"/>
  <c r="L139" i="6"/>
  <c r="M139" i="6" s="1"/>
  <c r="L141" i="6"/>
  <c r="M141" i="6" s="1"/>
  <c r="L110" i="6"/>
  <c r="M110" i="6" s="1"/>
  <c r="L72" i="6"/>
  <c r="M72" i="6" s="1"/>
  <c r="L96" i="6"/>
  <c r="M96" i="6" s="1"/>
  <c r="L111" i="6"/>
  <c r="M111" i="6" s="1"/>
  <c r="L107" i="6"/>
  <c r="M107" i="6" s="1"/>
  <c r="L66" i="6"/>
  <c r="M66" i="6" s="1"/>
  <c r="L132" i="6"/>
  <c r="M132" i="6" s="1"/>
  <c r="L70" i="6"/>
  <c r="M70" i="6" s="1"/>
  <c r="L78" i="6"/>
  <c r="M78" i="6" s="1"/>
  <c r="L138" i="6"/>
  <c r="M138" i="6" s="1"/>
  <c r="L95" i="6"/>
  <c r="M95" i="6" s="1"/>
  <c r="L100" i="6"/>
  <c r="M100" i="6" s="1"/>
  <c r="L144" i="6"/>
  <c r="M144" i="6" s="1"/>
  <c r="L51" i="6"/>
  <c r="M51" i="6" s="1"/>
  <c r="L67" i="6"/>
  <c r="M67" i="6" s="1"/>
  <c r="L126" i="6"/>
  <c r="M126" i="6" s="1"/>
  <c r="L123" i="6"/>
  <c r="M123" i="6" s="1"/>
  <c r="L116" i="6"/>
  <c r="M116" i="6" s="1"/>
  <c r="L112" i="6"/>
  <c r="M112" i="6" s="1"/>
  <c r="L97" i="6"/>
  <c r="M97" i="6" s="1"/>
  <c r="L120" i="6"/>
  <c r="M120" i="6" s="1"/>
  <c r="L103" i="6"/>
  <c r="M103" i="6" s="1"/>
  <c r="L124" i="6"/>
  <c r="M124" i="6" s="1"/>
  <c r="L143" i="6"/>
  <c r="M143" i="6" s="1"/>
  <c r="L85" i="6"/>
  <c r="M85" i="6" s="1"/>
  <c r="L86" i="6"/>
  <c r="M86" i="6" s="1"/>
  <c r="L130" i="6"/>
  <c r="M130" i="6" s="1"/>
  <c r="L89" i="6"/>
  <c r="M89" i="6" s="1"/>
  <c r="L150" i="6"/>
  <c r="M150" i="6" s="1"/>
  <c r="L105" i="6"/>
  <c r="M105" i="6" s="1"/>
  <c r="L79" i="6"/>
  <c r="M79" i="6" s="1"/>
  <c r="L142" i="6"/>
  <c r="M142" i="6" s="1"/>
  <c r="L80" i="6"/>
  <c r="M80" i="6" s="1"/>
  <c r="L92" i="6"/>
  <c r="M92" i="6" s="1"/>
  <c r="L134" i="6"/>
  <c r="M134" i="6" s="1"/>
  <c r="L151" i="6"/>
  <c r="M151" i="6" s="1"/>
  <c r="L129" i="6"/>
  <c r="M129" i="6" s="1"/>
  <c r="L115" i="6"/>
  <c r="M115" i="6" s="1"/>
  <c r="L109" i="6"/>
  <c r="M109" i="6" s="1"/>
  <c r="L136" i="6"/>
  <c r="M136" i="6" s="1"/>
  <c r="L133" i="6"/>
  <c r="M133" i="6" s="1"/>
  <c r="L147" i="6"/>
  <c r="M147" i="6" s="1"/>
  <c r="L145" i="6"/>
  <c r="M145" i="6" s="1"/>
  <c r="L137" i="6"/>
  <c r="M137" i="6" s="1"/>
  <c r="L148" i="6"/>
  <c r="M148" i="6" s="1"/>
  <c r="L153" i="6"/>
  <c r="M153" i="6" s="1"/>
  <c r="L149" i="6"/>
  <c r="M149" i="6" s="1"/>
  <c r="L140" i="6"/>
  <c r="M140" i="6" s="1"/>
  <c r="L146" i="6"/>
  <c r="M146" i="6" s="1"/>
  <c r="L156" i="6"/>
  <c r="M156" i="6" s="1"/>
  <c r="L127" i="6"/>
  <c r="M127" i="6" s="1"/>
  <c r="L154" i="6"/>
  <c r="M154" i="6" s="1"/>
  <c r="L157" i="6"/>
  <c r="M157" i="6" s="1"/>
  <c r="L160" i="6"/>
  <c r="M160" i="6" s="1"/>
  <c r="L119" i="6"/>
  <c r="M119" i="6" s="1"/>
  <c r="L158" i="6"/>
  <c r="M158" i="6" s="1"/>
  <c r="L162" i="6"/>
  <c r="M162" i="6" s="1"/>
  <c r="L159" i="6"/>
  <c r="M159" i="6" s="1"/>
  <c r="L152" i="6"/>
  <c r="M152" i="6" s="1"/>
  <c r="L167" i="6"/>
  <c r="M167" i="6" s="1"/>
  <c r="L163" i="6"/>
  <c r="M163" i="6" s="1"/>
  <c r="L164" i="6"/>
  <c r="M164" i="6" s="1"/>
  <c r="L165" i="6"/>
  <c r="M165" i="6" s="1"/>
  <c r="L161" i="6"/>
  <c r="M161" i="6" s="1"/>
  <c r="L169" i="6"/>
  <c r="M169" i="6" s="1"/>
  <c r="L166" i="6"/>
  <c r="M166" i="6" s="1"/>
  <c r="L155" i="6"/>
  <c r="M155" i="6" s="1"/>
  <c r="L168" i="6"/>
  <c r="M168" i="6" s="1"/>
  <c r="L170" i="6"/>
  <c r="M170" i="6" s="1"/>
  <c r="L176" i="6"/>
  <c r="M176" i="6" s="1"/>
  <c r="L177" i="6"/>
  <c r="M177" i="6" s="1"/>
  <c r="L171" i="6"/>
  <c r="M171" i="6" s="1"/>
  <c r="L175" i="6"/>
  <c r="M175" i="6" s="1"/>
  <c r="L178" i="6"/>
  <c r="M178" i="6" s="1"/>
  <c r="L172" i="6"/>
  <c r="M172" i="6" s="1"/>
  <c r="L173" i="6"/>
  <c r="M173" i="6" s="1"/>
  <c r="L174" i="6"/>
  <c r="M174" i="6" s="1"/>
  <c r="L180" i="6"/>
  <c r="M180" i="6" s="1"/>
  <c r="L181" i="6"/>
  <c r="M181" i="6" s="1"/>
  <c r="L179" i="6"/>
  <c r="M179" i="6" s="1"/>
  <c r="L182" i="6"/>
  <c r="M182" i="6" s="1"/>
  <c r="L183" i="6"/>
  <c r="M183" i="6" s="1"/>
  <c r="L184" i="6"/>
  <c r="M184" i="6" s="1"/>
  <c r="L185" i="6"/>
  <c r="M185" i="6" s="1"/>
  <c r="L186" i="6"/>
  <c r="M186" i="6" s="1"/>
  <c r="L187" i="6"/>
  <c r="M187" i="6" s="1"/>
  <c r="L188" i="6"/>
  <c r="M188" i="6" s="1"/>
  <c r="L189" i="6"/>
  <c r="M189" i="6" s="1"/>
  <c r="L190" i="6"/>
  <c r="M190" i="6" s="1"/>
  <c r="L191" i="6"/>
  <c r="M191" i="6" s="1"/>
  <c r="L192" i="6"/>
  <c r="M192" i="6" s="1"/>
  <c r="L193" i="6"/>
  <c r="M193" i="6" s="1"/>
  <c r="B4" i="8" l="1"/>
  <c r="C4" i="8" s="1"/>
</calcChain>
</file>

<file path=xl/sharedStrings.xml><?xml version="1.0" encoding="utf-8"?>
<sst xmlns="http://schemas.openxmlformats.org/spreadsheetml/2006/main" count="4095" uniqueCount="875">
  <si>
    <t>ID</t>
  </si>
  <si>
    <t>NAME</t>
  </si>
  <si>
    <t>CREATED</t>
  </si>
  <si>
    <t>CREATED (MS)</t>
  </si>
  <si>
    <t>UPDATED</t>
  </si>
  <si>
    <t>UPDATED (MS)</t>
  </si>
  <si>
    <t>TAGS</t>
  </si>
  <si>
    <t>Patient Count</t>
  </si>
  <si>
    <t>Encounter Count</t>
  </si>
  <si>
    <t>Interaction Count</t>
  </si>
  <si>
    <t>Enrollment Count</t>
  </si>
  <si>
    <t>Call Attempts Count</t>
  </si>
  <si>
    <t>Archived Call Attempts Count</t>
  </si>
  <si>
    <t>Patient Issues</t>
  </si>
  <si>
    <t>Patient Events</t>
  </si>
  <si>
    <t>Unit Visits</t>
  </si>
  <si>
    <t>550b3ab85241494278ba0000</t>
  </si>
  <si>
    <t>Intermountain Healthcare</t>
  </si>
  <si>
    <t>Thu Mar 19 2015 17:08:08 GMT-0400 (Eastern Daylight Time)</t>
  </si>
  <si>
    <t>Mon Apr 26 2021 17:34:40 GMT-0400 (Eastern Daylight Time)</t>
  </si>
  <si>
    <t>hl7,orchid,voice</t>
  </si>
  <si>
    <t>517584b01b85b061b300003d</t>
  </si>
  <si>
    <t>Hill Country Memorial</t>
  </si>
  <si>
    <t>Mon Apr 22 2013 14:42:56 GMT-0400 (Eastern Daylight Time)</t>
  </si>
  <si>
    <t>Tue Dec 15 2020 09:52:29 GMT-0500 (Eastern Standard Time)</t>
  </si>
  <si>
    <t>sftp,voice</t>
  </si>
  <si>
    <t>517569541b85b034fb000003</t>
  </si>
  <si>
    <t>Middlesex Hospital</t>
  </si>
  <si>
    <t>Mon Apr 22 2013 12:46:12 GMT-0400 (Eastern Daylight Time)</t>
  </si>
  <si>
    <t>Tue Apr 27 2021 15:21:44 GMT-0400 (Eastern Daylight Time)</t>
  </si>
  <si>
    <t>hl7,orchid,sftp,voice</t>
  </si>
  <si>
    <t>56f00372acc0db20db00025b</t>
  </si>
  <si>
    <t>Akron Children's Hospital</t>
  </si>
  <si>
    <t>Mon Mar 21 2016 10:21:38 GMT-0400 (Eastern Daylight Time)</t>
  </si>
  <si>
    <t>Fri Mar 19 2021 14:42:09 GMT-0400 (Eastern Daylight Time)</t>
  </si>
  <si>
    <t>hl7,orchid,sso</t>
  </si>
  <si>
    <t>57b70286acc0db7118dac820</t>
  </si>
  <si>
    <t>Grays Harbor Community Hospital</t>
  </si>
  <si>
    <t>Fri Aug 19 2016 08:58:46 GMT-0400 (Eastern Daylight Time)</t>
  </si>
  <si>
    <t>Wed Jan 27 2021 14:45:56 GMT-0500 (Eastern Standard Time)</t>
  </si>
  <si>
    <t>echo,hl7,voice</t>
  </si>
  <si>
    <t>59807063d27cbe6df65f2c22</t>
  </si>
  <si>
    <t>Carilion Clinic</t>
  </si>
  <si>
    <t>Tue Aug 01 2017 08:13:23 GMT-0400 (Eastern Daylight Time)</t>
  </si>
  <si>
    <t>Fri Apr 23 2021 10:08:41 GMT-0400 (Eastern Daylight Time)</t>
  </si>
  <si>
    <t>59c4025fd27cbebc83ebcf22</t>
  </si>
  <si>
    <t>Chattanooga Endoscopy Center</t>
  </si>
  <si>
    <t>Thu Sep 21 2017 14:18:07 GMT-0400 (Eastern Daylight Time)</t>
  </si>
  <si>
    <t>Mon Jan 04 2021 11:40:21 GMT-0500 (Eastern Standard Time)</t>
  </si>
  <si>
    <t>asc,sftp,voice</t>
  </si>
  <si>
    <t>56253f1361706f73e36c0700</t>
  </si>
  <si>
    <t>Interfaith Medical Center</t>
  </si>
  <si>
    <t>Mon Oct 19 2015 15:05:55 GMT-0400 (Eastern Daylight Time)</t>
  </si>
  <si>
    <t>Mon Mar 15 2021 23:39:10 GMT-0400 (Eastern Daylight Time)</t>
  </si>
  <si>
    <t>orchid</t>
  </si>
  <si>
    <t>56549db752414960e31e0200</t>
  </si>
  <si>
    <t>Carle Foundation</t>
  </si>
  <si>
    <t>Tue Nov 24 2015 12:26:15 GMT-0500 (Eastern Standard Time)</t>
  </si>
  <si>
    <t>Tue Jan 26 2021 22:01:19 GMT-0500 (Eastern Standard Time)</t>
  </si>
  <si>
    <t>hl7,orchid</t>
  </si>
  <si>
    <t>5175a6c21b85b034fb000073</t>
  </si>
  <si>
    <t>Franciscan Health System</t>
  </si>
  <si>
    <t>Mon Apr 22 2013 17:08:18 GMT-0400 (Eastern Daylight Time)</t>
  </si>
  <si>
    <t>Wed Apr 28 2021 11:39:14 GMT-0400 (Eastern Daylight Time)</t>
  </si>
  <si>
    <t>55365e525241497d90580100</t>
  </si>
  <si>
    <t>Baylor Scott &amp; White Health</t>
  </si>
  <si>
    <t>Tue Apr 21 2015 10:27:30 GMT-0400 (Eastern Daylight Time)</t>
  </si>
  <si>
    <t>Tue Mar 30 2021 18:32:15 GMT-0400 (Eastern Daylight Time)</t>
  </si>
  <si>
    <t>voice</t>
  </si>
  <si>
    <t>554008ab52414951751c0000</t>
  </si>
  <si>
    <t>Mercy Health System</t>
  </si>
  <si>
    <t>Tue Apr 28 2015 18:24:43 GMT-0400 (Eastern Daylight Time)</t>
  </si>
  <si>
    <t>Fri Apr 09 2021 01:54:52 GMT-0400 (Eastern Daylight Time)</t>
  </si>
  <si>
    <t>558bfd3b5241490e05410800</t>
  </si>
  <si>
    <t>Kaleida Health</t>
  </si>
  <si>
    <t>Thu Jun 25 2015 09:08:11 GMT-0400 (Eastern Daylight Time)</t>
  </si>
  <si>
    <t>echo,hl7,orchid,sso,view,voice</t>
  </si>
  <si>
    <t>51ae764dacc0dbd4a700000d</t>
  </si>
  <si>
    <t>SCL - Lutheran Medical Center</t>
  </si>
  <si>
    <t>Tue Jun 04 2013 19:20:45 GMT-0400 (Eastern Daylight Time)</t>
  </si>
  <si>
    <t>Tue Jan 26 2021 22:00:59 GMT-0500 (Eastern Standard Time)</t>
  </si>
  <si>
    <t>echo,hl7,orchid,voice</t>
  </si>
  <si>
    <t>52fe61815241497341ee0000</t>
  </si>
  <si>
    <t>Decatur Morgan Hospital</t>
  </si>
  <si>
    <t>Fri Feb 14 2014 13:33:37 GMT-0500 (Eastern Standard Time)</t>
  </si>
  <si>
    <t>559d65e55241490d74ca0100</t>
  </si>
  <si>
    <t>Mercy Health</t>
  </si>
  <si>
    <t>Wed Jul 08 2015 14:03:17 GMT-0400 (Eastern Daylight Time)</t>
  </si>
  <si>
    <t>Tue Jan 26 2021 22:01:14 GMT-0500 (Eastern Standard Time)</t>
  </si>
  <si>
    <t>implementation,sftp,voice</t>
  </si>
  <si>
    <t>5aa81efd74410fa8504e9aea</t>
  </si>
  <si>
    <t>Geisinger Health System</t>
  </si>
  <si>
    <t>Tue Mar 13 2018 14:57:01 GMT-0400 (Eastern Daylight Time)</t>
  </si>
  <si>
    <t>Sun May 02 2021 10:31:54 GMT-0400 (Eastern Daylight Time)</t>
  </si>
  <si>
    <t>hl7,implementation,orchid,sftp,sso</t>
  </si>
  <si>
    <t>5b71f329ff16722f5cb4edb2</t>
  </si>
  <si>
    <t>Sutter Independent Physicians</t>
  </si>
  <si>
    <t>Mon Aug 13 2018 17:07:53 GMT-0400 (Eastern Daylight Time)</t>
  </si>
  <si>
    <t>Fri Mar 05 2021 11:06:50 GMT-0500 (Eastern Standard Time)</t>
  </si>
  <si>
    <t>ambulatory,kiosk</t>
  </si>
  <si>
    <t>58bec27a9c055208405da427</t>
  </si>
  <si>
    <t>Inova Health System</t>
  </si>
  <si>
    <t>Tue Mar 07 2017 09:23:54 GMT-0500 (Eastern Standard Time)</t>
  </si>
  <si>
    <t>Mon Apr 19 2021 14:31:41 GMT-0400 (Eastern Daylight Time)</t>
  </si>
  <si>
    <t>591b3c8dd27cbe3b8712b576</t>
  </si>
  <si>
    <t>Peninsula Regional Medical Center</t>
  </si>
  <si>
    <t>Tue May 16 2017 13:53:17 GMT-0400 (Eastern Daylight Time)</t>
  </si>
  <si>
    <t>59555bcdd27cbeae95530829</t>
  </si>
  <si>
    <t>Johns Hopkins Health System</t>
  </si>
  <si>
    <t>Thu Jun 29 2017 15:58:05 GMT-0400 (Eastern Daylight Time)</t>
  </si>
  <si>
    <t>Wed Apr 28 2021 09:22:38 GMT-0400 (Eastern Daylight Time)</t>
  </si>
  <si>
    <t>59bc2849ff167259af2f1c8c</t>
  </si>
  <si>
    <t>Staten Island PPS</t>
  </si>
  <si>
    <t>Fri Sep 15 2017 15:21:46 GMT-0400 (Eastern Daylight Time)</t>
  </si>
  <si>
    <t>dsrip,pam,voice</t>
  </si>
  <si>
    <t>5adfa033ff167296f95e72e7</t>
  </si>
  <si>
    <t>Medical West</t>
  </si>
  <si>
    <t>Tue Apr 24 2018 17:22:59 GMT-0400 (Eastern Daylight Time)</t>
  </si>
  <si>
    <t>Tue Jan 26 2021 22:02:06 GMT-0500 (Eastern Standard Time)</t>
  </si>
  <si>
    <t>5b4f50dcff16722008feef6e</t>
  </si>
  <si>
    <t>Westchester Medical Center</t>
  </si>
  <si>
    <t>Wed Jul 18 2018 10:38:20 GMT-0400 (Eastern Daylight Time)</t>
  </si>
  <si>
    <t>Thu Dec 17 2020 20:19:25 GMT-0500 (Eastern Standard Time)</t>
  </si>
  <si>
    <t>52f023595241494e0a6c0000</t>
  </si>
  <si>
    <t>Beaumont Health System</t>
  </si>
  <si>
    <t>Mon Feb 03 2014 18:16:41 GMT-0500 (Eastern Standard Time)</t>
  </si>
  <si>
    <t>Fri Feb 19 2021 11:36:07 GMT-0500 (Eastern Standard Time)</t>
  </si>
  <si>
    <t>527191f2677affa59a00000b</t>
  </si>
  <si>
    <t>Bethesda Health</t>
  </si>
  <si>
    <t>Wed Oct 30 2013 19:10:42 GMT-0400 (Eastern Daylight Time)</t>
  </si>
  <si>
    <t>Tue Dec 15 2020 09:52:37 GMT-0500 (Eastern Standard Time)</t>
  </si>
  <si>
    <t>51acb77a677affadae000115</t>
  </si>
  <si>
    <t>SCL - St. James Healthcare</t>
  </si>
  <si>
    <t>Mon Jun 03 2013 11:34:18 GMT-0400 (Eastern Daylight Time)</t>
  </si>
  <si>
    <t>Tue Dec 15 2020 09:57:56 GMT-0500 (Eastern Standard Time)</t>
  </si>
  <si>
    <t>5522cb8d5241496bfe2e0400</t>
  </si>
  <si>
    <t>Kingsbrook Jewish Medical Center</t>
  </si>
  <si>
    <t>Mon Apr 06 2015 14:08:13 GMT-0400 (Eastern Daylight Time)</t>
  </si>
  <si>
    <t>Mon Mar 08 2021 15:26:03 GMT-0500 (Eastern Standard Time)</t>
  </si>
  <si>
    <t>echo</t>
  </si>
  <si>
    <t>574f072dacc0db06c8000046</t>
  </si>
  <si>
    <t>Providigm</t>
  </si>
  <si>
    <t>Wed Jun 01 2016 12:02:53 GMT-0400 (Eastern Daylight Time)</t>
  </si>
  <si>
    <t>Tue Dec 15 2020 09:59:00 GMT-0500 (Eastern Standard Time)</t>
  </si>
  <si>
    <t>implementation</t>
  </si>
  <si>
    <t>57ebef63acc0db66042c1d82</t>
  </si>
  <si>
    <t>Manatee Memorial Hospital</t>
  </si>
  <si>
    <t>Wed Sep 28 2016 12:27:15 GMT-0400 (Eastern Daylight Time)</t>
  </si>
  <si>
    <t>Tue Dec 15 2020 09:59:41 GMT-0500 (Eastern Standard Time)</t>
  </si>
  <si>
    <t>hl7,implementation,orchid</t>
  </si>
  <si>
    <t>585189588e82a84f693d4c24</t>
  </si>
  <si>
    <t>ASCENT</t>
  </si>
  <si>
    <t>Wed Dec 14 2016 13:03:04 GMT-0500 (Eastern Standard Time)</t>
  </si>
  <si>
    <t>Tue Apr 27 2021 11:53:12 GMT-0400 (Eastern Daylight Time)</t>
  </si>
  <si>
    <t>hl7,view</t>
  </si>
  <si>
    <t>591db38dd27cbe8dc3f577b5</t>
  </si>
  <si>
    <t>Saint Francis Hospital and Medical Center</t>
  </si>
  <si>
    <t>Thu May 18 2017 10:45:33 GMT-0400 (Eastern Daylight Time)</t>
  </si>
  <si>
    <t>Tue Apr 06 2021 15:19:17 GMT-0400 (Eastern Daylight Time)</t>
  </si>
  <si>
    <t>59516787d27cbede1924d757</t>
  </si>
  <si>
    <t>Community Health Network</t>
  </si>
  <si>
    <t>Mon Jun 26 2017 15:59:03 GMT-0400 (Eastern Daylight Time)</t>
  </si>
  <si>
    <t>Fri Apr 30 2021 16:25:20 GMT-0400 (Eastern Daylight Time)</t>
  </si>
  <si>
    <t>59dcd0bcff167278f2dea538</t>
  </si>
  <si>
    <t>Nascentia Health</t>
  </si>
  <si>
    <t>Tue Oct 10 2017 09:53:00 GMT-0400 (Eastern Daylight Time)</t>
  </si>
  <si>
    <t>Tue Jan 26 2021 22:01:02 GMT-0500 (Eastern Standard Time)</t>
  </si>
  <si>
    <t>hha,sftp,voice</t>
  </si>
  <si>
    <t>5b182aacd27cbe7487a74365</t>
  </si>
  <si>
    <t>Marshall Health</t>
  </si>
  <si>
    <t>Wed Jun 06 2018 14:40:44 GMT-0400 (Eastern Daylight Time)</t>
  </si>
  <si>
    <t>Thu Apr 22 2021 13:28:39 GMT-0400 (Eastern Daylight Time)</t>
  </si>
  <si>
    <t>appointment reminders,sftp,voice</t>
  </si>
  <si>
    <t>5b4ca0c7ff16723d0f9a617b</t>
  </si>
  <si>
    <t>Beebe Healthcare</t>
  </si>
  <si>
    <t>Mon Jul 16 2018 09:42:31 GMT-0400 (Eastern Daylight Time)</t>
  </si>
  <si>
    <t>Thu Apr 22 2021 13:38:20 GMT-0400 (Eastern Daylight Time)</t>
  </si>
  <si>
    <t>546e65f952414901d8b20200</t>
  </si>
  <si>
    <t>UnityPoint Health</t>
  </si>
  <si>
    <t>Thu Nov 20 2014 17:06:48 GMT-0500 (Eastern Standard Time)</t>
  </si>
  <si>
    <t>Wed Dec 16 2020 22:10:43 GMT-0500 (Eastern Standard Time)</t>
  </si>
  <si>
    <t>51ae3d85acc0db2995000002</t>
  </si>
  <si>
    <t>SCL - Saint Joseph Hospital</t>
  </si>
  <si>
    <t>Tue Jun 04 2013 15:18:29 GMT-0400 (Eastern Daylight Time)</t>
  </si>
  <si>
    <t>Tue Dec 15 2020 09:53:33 GMT-0500 (Eastern Standard Time)</t>
  </si>
  <si>
    <t>orchid,voice</t>
  </si>
  <si>
    <t>557f57815241496e57820200</t>
  </si>
  <si>
    <t>Rush University Medical Center</t>
  </si>
  <si>
    <t>Mon Jun 15 2015 18:53:53 GMT-0400 (Eastern Daylight Time)</t>
  </si>
  <si>
    <t>Thu Apr 15 2021 11:02:59 GMT-0400 (Eastern Daylight Time)</t>
  </si>
  <si>
    <t>516e91ab26a97a325d000001</t>
  </si>
  <si>
    <t>Bronx Lebanon Hospital Center</t>
  </si>
  <si>
    <t>Wed Apr 17 2013 08:12:27 GMT-0400 (Eastern Daylight Time)</t>
  </si>
  <si>
    <t>Tue Jan 26 2021 22:02:40 GMT-0500 (Eastern Standard Time)</t>
  </si>
  <si>
    <t>57a48b46677aff47c8c8c34e</t>
  </si>
  <si>
    <t>Cedar Community</t>
  </si>
  <si>
    <t>Fri Aug 05 2016 08:49:10 GMT-0400 (Eastern Daylight Time)</t>
  </si>
  <si>
    <t>Fri Dec 18 2020 09:58:24 GMT-0500 (Eastern Standard Time)</t>
  </si>
  <si>
    <t>snf,voice</t>
  </si>
  <si>
    <t>583f7a62da771056d68c122a</t>
  </si>
  <si>
    <t>Well Care Home Health</t>
  </si>
  <si>
    <t>Wed Nov 30 2016 20:18:26 GMT-0500 (Eastern Standard Time)</t>
  </si>
  <si>
    <t>Fri Apr 02 2021 15:28:51 GMT-0400 (Eastern Daylight Time)</t>
  </si>
  <si>
    <t>hha,orchid,sftp,voice</t>
  </si>
  <si>
    <t>58f5155874410f7afcd151ea</t>
  </si>
  <si>
    <t>Selin CP Name</t>
  </si>
  <si>
    <t>Mon Apr 17 2017 15:19:52 GMT-0400 (Eastern Daylight Time)</t>
  </si>
  <si>
    <t>Tue Apr 27 2021 16:17:46 GMT-0400 (Eastern Daylight Time)</t>
  </si>
  <si>
    <t>59c091e3d27cbe326af69d68</t>
  </si>
  <si>
    <t>CHI Health</t>
  </si>
  <si>
    <t>Mon Sep 18 2017 23:41:23 GMT-0400 (Eastern Daylight Time)</t>
  </si>
  <si>
    <t>Thu Apr 15 2021 10:29:26 GMT-0400 (Eastern Daylight Time)</t>
  </si>
  <si>
    <t>hl7,orchid,sso,voice</t>
  </si>
  <si>
    <t>5a944e9fd27cbe7a4c7adc33</t>
  </si>
  <si>
    <t>Schneck Medical Center</t>
  </si>
  <si>
    <t>Mon Feb 26 2018 13:14:55 GMT-0500 (Eastern Standard Time)</t>
  </si>
  <si>
    <t>Tue Jan 26 2021 22:01:24 GMT-0500 (Eastern Standard Time)</t>
  </si>
  <si>
    <t>appointment reminders,hl7,voice</t>
  </si>
  <si>
    <t>551424215241491cd50b0000</t>
  </si>
  <si>
    <t>Baptist Health</t>
  </si>
  <si>
    <t>Thu Mar 26 2015 11:22:09 GMT-0400 (Eastern Daylight Time)</t>
  </si>
  <si>
    <t>Thu Dec 17 2020 09:31:43 GMT-0500 (Eastern Standard Time)</t>
  </si>
  <si>
    <t>55aef3d15241493cb2d40100</t>
  </si>
  <si>
    <t>Wichita Falls GI Associates</t>
  </si>
  <si>
    <t>Tue Jul 21 2015 21:37:21 GMT-0400 (Eastern Daylight Time)</t>
  </si>
  <si>
    <t>Wed Mar 17 2021 15:18:44 GMT-0400 (Eastern Daylight Time)</t>
  </si>
  <si>
    <t>appointment reminders,kiosk,orchid,voice</t>
  </si>
  <si>
    <t>559d9b1452414928ff9d0000</t>
  </si>
  <si>
    <t>University of Pennsylvania Health System</t>
  </si>
  <si>
    <t>Wed Jul 08 2015 17:50:12 GMT-0400 (Eastern Daylight Time)</t>
  </si>
  <si>
    <t>Fri Apr 30 2021 17:00:29 GMT-0400 (Eastern Daylight Time)</t>
  </si>
  <si>
    <t>562529d15241495c5e530000</t>
  </si>
  <si>
    <t>Flagler Hospital</t>
  </si>
  <si>
    <t>Mon Oct 19 2015 13:35:13 GMT-0400 (Eastern Daylight Time)</t>
  </si>
  <si>
    <t>Thu Feb 11 2021 12:12:22 GMT-0500 (Eastern Standard Time)</t>
  </si>
  <si>
    <t>57882c6b4004122fb14f4094</t>
  </si>
  <si>
    <t>Sturdy Memorial Hospital</t>
  </si>
  <si>
    <t>Thu Jul 14 2016 20:20:59 GMT-0400 (Eastern Daylight Time)</t>
  </si>
  <si>
    <t>Thu Dec 17 2020 06:02:19 GMT-0500 (Eastern Standard Time)</t>
  </si>
  <si>
    <t>59ee651bd27cbe65baa14a23</t>
  </si>
  <si>
    <t>Our Lady of the Lake Regional Medical Center</t>
  </si>
  <si>
    <t>Mon Oct 23 2017 17:54:35 GMT-0400 (Eastern Daylight Time)</t>
  </si>
  <si>
    <t>Fri Mar 19 2021 13:15:25 GMT-0400 (Eastern Daylight Time)</t>
  </si>
  <si>
    <t>5acfa72aff16722d8f9117b0</t>
  </si>
  <si>
    <t>Cedars-Sinai Medical Center</t>
  </si>
  <si>
    <t>Thu Apr 12 2018 14:36:26 GMT-0400 (Eastern Daylight Time)</t>
  </si>
  <si>
    <t>Sat Apr 24 2021 14:17:28 GMT-0400 (Eastern Daylight Time)</t>
  </si>
  <si>
    <t>implementation,pilot,sftp,voice</t>
  </si>
  <si>
    <t>5b06f54eff1672b95687c44b</t>
  </si>
  <si>
    <t>Revival Home Health</t>
  </si>
  <si>
    <t>Thu May 24 2018 13:24:30 GMT-0400 (Eastern Daylight Time)</t>
  </si>
  <si>
    <t>Mon Feb 01 2021 21:30:47 GMT-0500 (Eastern Standard Time)</t>
  </si>
  <si>
    <t>hha,implementation</t>
  </si>
  <si>
    <t>5b2286ddff1672e6cf391489</t>
  </si>
  <si>
    <t>Christiana Care Health System</t>
  </si>
  <si>
    <t>Thu Jun 14 2018 11:16:45 GMT-0400 (Eastern Daylight Time)</t>
  </si>
  <si>
    <t>Fri Apr 16 2021 01:02:41 GMT-0400 (Eastern Daylight Time)</t>
  </si>
  <si>
    <t>hl7,implementation,orchid,sso</t>
  </si>
  <si>
    <t>5b6dac0e74410f377770e4df</t>
  </si>
  <si>
    <t>Hill Physicians Medical Group</t>
  </si>
  <si>
    <t>Fri Aug 10 2018 11:15:26 GMT-0400 (Eastern Daylight Time)</t>
  </si>
  <si>
    <t>Tue Apr 27 2021 16:30:40 GMT-0400 (Eastern Daylight Time)</t>
  </si>
  <si>
    <t>51af69c4acc0db6d5e000189</t>
  </si>
  <si>
    <t>SCL - Good Samaritan Medical Center</t>
  </si>
  <si>
    <t>Wed Jun 05 2013 12:39:32 GMT-0400 (Eastern Daylight Time)</t>
  </si>
  <si>
    <t>Tue Dec 15 2020 09:58:02 GMT-0500 (Eastern Standard Time)</t>
  </si>
  <si>
    <t>5175aa7e1b85b034fb00007a</t>
  </si>
  <si>
    <t>Saint Francis Hospital</t>
  </si>
  <si>
    <t>Mon Apr 22 2013 17:24:14 GMT-0400 (Eastern Daylight Time)</t>
  </si>
  <si>
    <t>Fri Apr 30 2021 14:23:04 GMT-0400 (Eastern Daylight Time)</t>
  </si>
  <si>
    <t>5785446a677aff398bd74cf6</t>
  </si>
  <si>
    <t>University of Alabama Birmingham</t>
  </si>
  <si>
    <t>Tue Jul 12 2016 15:26:34 GMT-0400 (Eastern Daylight Time)</t>
  </si>
  <si>
    <t>Fri Apr 02 2021 14:45:38 GMT-0400 (Eastern Daylight Time)</t>
  </si>
  <si>
    <t>echo,hl7,orchid,sso</t>
  </si>
  <si>
    <t>58cfe3a074410f2d1ecca7a9</t>
  </si>
  <si>
    <t>University of Virginia Health</t>
  </si>
  <si>
    <t>Mon Mar 20 2017 10:13:52 GMT-0400 (Eastern Daylight Time)</t>
  </si>
  <si>
    <t>Thu Apr 22 2021 11:07:53 GMT-0400 (Eastern Daylight Time)</t>
  </si>
  <si>
    <t>hl7,kiosk,orchid,sso</t>
  </si>
  <si>
    <t>58dc22189c05524a52b01691</t>
  </si>
  <si>
    <t>Carson Tahoe</t>
  </si>
  <si>
    <t>Wed Mar 29 2017 17:07:36 GMT-0400 (Eastern Daylight Time)</t>
  </si>
  <si>
    <t>Thu Apr 01 2021 14:53:30 GMT-0400 (Eastern Daylight Time)</t>
  </si>
  <si>
    <t>hl7,kiosk,orchid,sftp,voice</t>
  </si>
  <si>
    <t>5978d9d4d27cbea259272282</t>
  </si>
  <si>
    <t>Seattle Childrens Hospital</t>
  </si>
  <si>
    <t>Wed Jul 26 2017 14:05:08 GMT-0400 (Eastern Daylight Time)</t>
  </si>
  <si>
    <t>Fri Mar 19 2021 17:50:57 GMT-0400 (Eastern Daylight Time)</t>
  </si>
  <si>
    <t>5a0f22d4ff16725c1630d97c</t>
  </si>
  <si>
    <t>Priority Partners</t>
  </si>
  <si>
    <t>Fri Nov 17 2017 12:56:36 GMT-0500 (Eastern Standard Time)</t>
  </si>
  <si>
    <t>Tue Apr 27 2021 13:46:09 GMT-0400 (Eastern Daylight Time)</t>
  </si>
  <si>
    <t>mco,payor,preventive,voice</t>
  </si>
  <si>
    <t>5628fda05241492dafde0600</t>
  </si>
  <si>
    <t>Maryland Community Health System</t>
  </si>
  <si>
    <t>Thu Oct 22 2015 11:15:44 GMT-0400 (Eastern Daylight Time)</t>
  </si>
  <si>
    <t>Mon Dec 21 2020 15:22:20 GMT-0500 (Eastern Standard Time)</t>
  </si>
  <si>
    <t>fqhc,sftp,voice</t>
  </si>
  <si>
    <t>53d915aa61706f4842020000</t>
  </si>
  <si>
    <t>United Regional Hospital</t>
  </si>
  <si>
    <t>Wed Jul 30 2014 11:56:26 GMT-0400 (Eastern Daylight Time)</t>
  </si>
  <si>
    <t>Fri Apr 30 2021 20:24:19 GMT-0400 (Eastern Daylight Time)</t>
  </si>
  <si>
    <t>520b9fed677aff2618000073</t>
  </si>
  <si>
    <t>UCSF Medical Center</t>
  </si>
  <si>
    <t>Wed Aug 14 2013 11:19:09 GMT-0400 (Eastern Daylight Time)</t>
  </si>
  <si>
    <t>Thu Apr 29 2021 18:04:21 GMT-0400 (Eastern Daylight Time)</t>
  </si>
  <si>
    <t>kiosk,orchid,preventive,sso,view,voice</t>
  </si>
  <si>
    <t>55940e9c5241495e497c0100</t>
  </si>
  <si>
    <t>Oneida Health Care</t>
  </si>
  <si>
    <t>Wed Jul 01 2015 12:00:28 GMT-0400 (Eastern Daylight Time)</t>
  </si>
  <si>
    <t>Fri Mar 12 2021 11:07:53 GMT-0500 (Eastern Standard Time)</t>
  </si>
  <si>
    <t>justin!,orchid,voice</t>
  </si>
  <si>
    <t>572711b64004120d850001bc</t>
  </si>
  <si>
    <t>NYC Health and Hospitals Corporation</t>
  </si>
  <si>
    <t>Mon May 02 2016 04:37:10 GMT-0400 (Eastern Daylight Time)</t>
  </si>
  <si>
    <t>Fri Apr 30 2021 14:35:03 GMT-0400 (Eastern Daylight Time)</t>
  </si>
  <si>
    <t>5730ee00acc0db0fee00012f</t>
  </si>
  <si>
    <t>Northwell Health</t>
  </si>
  <si>
    <t>Mon May 09 2016 16:07:28 GMT-0400 (Eastern Daylight Time)</t>
  </si>
  <si>
    <t>Fri Apr 30 2021 09:56:56 GMT-0400 (Eastern Daylight Time)</t>
  </si>
  <si>
    <t>58f6cd49d27cbe42a2fed86f</t>
  </si>
  <si>
    <t>University of Cincinnati Medical Center</t>
  </si>
  <si>
    <t>Tue Apr 18 2017 22:36:57 GMT-0400 (Eastern Daylight Time)</t>
  </si>
  <si>
    <t>Wed Apr 21 2021 14:13:47 GMT-0400 (Eastern Daylight Time)</t>
  </si>
  <si>
    <t>5af48014ff167217fbe09c60</t>
  </si>
  <si>
    <t>Reid Health</t>
  </si>
  <si>
    <t>Thu May 10 2018 13:23:32 GMT-0400 (Eastern Daylight Time)</t>
  </si>
  <si>
    <t>Wed Mar 17 2021 15:19:57 GMT-0400 (Eastern Daylight Time)</t>
  </si>
  <si>
    <t>54614dcd5241497e8e370000</t>
  </si>
  <si>
    <t>HAHV</t>
  </si>
  <si>
    <t>Mon Nov 10 2014 18:44:13 GMT-0500 (Eastern Standard Time)</t>
  </si>
  <si>
    <t>Mon Mar 15 2021 11:18:09 GMT-0400 (Eastern Daylight Time)</t>
  </si>
  <si>
    <t>51c7d099677affcc74000712</t>
  </si>
  <si>
    <t>SCL - St. Mary's Medical Center</t>
  </si>
  <si>
    <t>Mon Jun 24 2013 00:52:41 GMT-0400 (Eastern Daylight Time)</t>
  </si>
  <si>
    <t>58c84e1074410f666aef1f74</t>
  </si>
  <si>
    <t>Eyra Care Provider</t>
  </si>
  <si>
    <t>Tue Mar 14 2017 16:09:52 GMT-0400 (Eastern Daylight Time)</t>
  </si>
  <si>
    <t>Tue Dec 15 2020 10:00:46 GMT-0500 (Eastern Standard Time)</t>
  </si>
  <si>
    <t>5ae74f5fd27cbe53d0832236</t>
  </si>
  <si>
    <t>Cambridge Health Alliance</t>
  </si>
  <si>
    <t>Mon Apr 30 2018 13:16:15 GMT-0400 (Eastern Daylight Time)</t>
  </si>
  <si>
    <t>Tue Jan 26 2021 22:01:01 GMT-0500 (Eastern Standard Time)</t>
  </si>
  <si>
    <t>appointment reminders,implementation,preventive,sftp,voice</t>
  </si>
  <si>
    <t>5b61c887ff16723570077169</t>
  </si>
  <si>
    <t>Texas Children's Hospital</t>
  </si>
  <si>
    <t>Wed Aug 01 2018 10:49:43 GMT-0400 (Eastern Daylight Time)</t>
  </si>
  <si>
    <t>Wed Apr 14 2021 12:04:36 GMT-0400 (Eastern Daylight Time)</t>
  </si>
  <si>
    <t>556f4e7f52414947ffb50000</t>
  </si>
  <si>
    <t>Alecto Healthcare</t>
  </si>
  <si>
    <t>Wed Jun 03 2015 14:59:11 GMT-0400 (Eastern Daylight Time)</t>
  </si>
  <si>
    <t>Tue Jan 26 2021 22:01:20 GMT-0500 (Eastern Standard Time)</t>
  </si>
  <si>
    <t>5175aa971b85b034fb00007c</t>
  </si>
  <si>
    <t>St. Joseph's Hospital and Health Center</t>
  </si>
  <si>
    <t>Mon Apr 22 2013 17:24:39 GMT-0400 (Eastern Daylight Time)</t>
  </si>
  <si>
    <t>Thu Dec 17 2020 08:01:22 GMT-0500 (Eastern Standard Time)</t>
  </si>
  <si>
    <t>53dfa9af5241492480080000</t>
  </si>
  <si>
    <t>UCSD Medical Center</t>
  </si>
  <si>
    <t>Mon Aug 04 2014 11:41:35 GMT-0400 (Eastern Daylight Time)</t>
  </si>
  <si>
    <t>Tue Apr 20 2021 13:02:41 GMT-0400 (Eastern Daylight Time)</t>
  </si>
  <si>
    <t>preventive,voice</t>
  </si>
  <si>
    <t>517801601b85b02a1e000003</t>
  </si>
  <si>
    <t>Charleston Area Medical Center</t>
  </si>
  <si>
    <t>Wed Apr 24 2013 11:59:28 GMT-0400 (Eastern Daylight Time)</t>
  </si>
  <si>
    <t>Wed Jan 27 2021 12:24:39 GMT-0500 (Eastern Standard Time)</t>
  </si>
  <si>
    <t>5519b9135241491e373c0200</t>
  </si>
  <si>
    <t>Shannon Medical Center</t>
  </si>
  <si>
    <t>Mon Mar 30 2015 16:58:59 GMT-0400 (Eastern Daylight Time)</t>
  </si>
  <si>
    <t>Wed Mar 31 2021 14:15:50 GMT-0400 (Eastern Daylight Time)</t>
  </si>
  <si>
    <t>57b3270c677aff0b90d10dab</t>
  </si>
  <si>
    <t>Rome Memorial Hospital</t>
  </si>
  <si>
    <t>Tue Aug 16 2016 10:45:32 GMT-0400 (Eastern Daylight Time)</t>
  </si>
  <si>
    <t>Tue Apr 06 2021 15:19:38 GMT-0400 (Eastern Daylight Time)</t>
  </si>
  <si>
    <t>59893d6974410f2220d54d06</t>
  </si>
  <si>
    <t>Eskenazi Health</t>
  </si>
  <si>
    <t>Tue Aug 08 2017 00:26:17 GMT-0400 (Eastern Daylight Time)</t>
  </si>
  <si>
    <t>Mon Feb 08 2021 17:32:08 GMT-0500 (Eastern Standard Time)</t>
  </si>
  <si>
    <t>appointment reminders,hl7,siu,voice</t>
  </si>
  <si>
    <t>5b3e1f27ff1672feb3fb80df</t>
  </si>
  <si>
    <t>RCCH HealthCare Partners</t>
  </si>
  <si>
    <t>Thu Jul 05 2018 09:37:43 GMT-0400 (Eastern Daylight Time)</t>
  </si>
  <si>
    <t>Thu Apr 15 2021 13:54:24 GMT-0400 (Eastern Daylight Time)</t>
  </si>
  <si>
    <t>hl7,implementation,orchid,voice</t>
  </si>
  <si>
    <t>5b60819ad27cbe9e835cc139</t>
  </si>
  <si>
    <t>Southcoast Health</t>
  </si>
  <si>
    <t>Tue Jul 31 2018 11:34:50 GMT-0400 (Eastern Daylight Time)</t>
  </si>
  <si>
    <t>Wed Apr 21 2021 09:55:50 GMT-0400 (Eastern Daylight Time)</t>
  </si>
  <si>
    <t>51c9ccbb677aff4218000528</t>
  </si>
  <si>
    <t>Sentara Healthcare</t>
  </si>
  <si>
    <t>Tue Jun 25 2013 13:00:43 GMT-0400 (Eastern Daylight Time)</t>
  </si>
  <si>
    <t>Fri Apr 23 2021 12:32:00 GMT-0400 (Eastern Daylight Time)</t>
  </si>
  <si>
    <t>orchid,sftp,voice</t>
  </si>
  <si>
    <t>51c0c559677affbffc001ed2</t>
  </si>
  <si>
    <t>Providence Health &amp; Services</t>
  </si>
  <si>
    <t>Tue Jun 18 2013 16:38:49 GMT-0400 (Eastern Daylight Time)</t>
  </si>
  <si>
    <t>Fri Apr 30 2021 09:06:55 GMT-0400 (Eastern Daylight Time)</t>
  </si>
  <si>
    <t>5175a60b1b85b061b3000089</t>
  </si>
  <si>
    <t>Camden Clark Medical Center</t>
  </si>
  <si>
    <t>Mon Apr 22 2013 17:05:15 GMT-0400 (Eastern Daylight Time)</t>
  </si>
  <si>
    <t>Thu Dec 17 2020 06:51:05 GMT-0500 (Eastern Standard Time)</t>
  </si>
  <si>
    <t>55faceb85241492088930800</t>
  </si>
  <si>
    <t>Norton Healthcare</t>
  </si>
  <si>
    <t>Thu Sep 17 2015 10:31:20 GMT-0400 (Eastern Daylight Time)</t>
  </si>
  <si>
    <t>Tue Apr 20 2021 15:43:37 GMT-0400 (Eastern Daylight Time)</t>
  </si>
  <si>
    <t>57e198204004123a2d758980</t>
  </si>
  <si>
    <t xml:space="preserve">Mon General Hospital </t>
  </si>
  <si>
    <t>Tue Sep 20 2016 16:12:16 GMT-0400 (Eastern Daylight Time)</t>
  </si>
  <si>
    <t>Tue Dec 15 2020 09:59:37 GMT-0500 (Eastern Standard Time)</t>
  </si>
  <si>
    <t>57e2b9f7677aff4c4bdec324</t>
  </si>
  <si>
    <t>King Faisal Specialist Hospital and Research Centre</t>
  </si>
  <si>
    <t>Wed Sep 21 2016 12:48:55 GMT-0400 (Eastern Daylight Time)</t>
  </si>
  <si>
    <t>international,pilot</t>
  </si>
  <si>
    <t>583ec08a8e82a8782c2f0fd2</t>
  </si>
  <si>
    <t>Northwest Michigan Surgery Center</t>
  </si>
  <si>
    <t>Wed Nov 30 2016 07:05:30 GMT-0500 (Eastern Standard Time)</t>
  </si>
  <si>
    <t>Tue Mar 02 2021 12:16:27 GMT-0500 (Eastern Standard Time)</t>
  </si>
  <si>
    <t>58dd445b9c055263862ee74b</t>
  </si>
  <si>
    <t>University of Illinois</t>
  </si>
  <si>
    <t>Thu Mar 30 2017 13:46:03 GMT-0400 (Eastern Daylight Time)</t>
  </si>
  <si>
    <t>Thu Apr 29 2021 15:44:15 GMT-0400 (Eastern Daylight Time)</t>
  </si>
  <si>
    <t>596f34d4d27cbe6ac13c93e2</t>
  </si>
  <si>
    <t>Covenant Health</t>
  </si>
  <si>
    <t>Wed Jul 19 2017 06:30:44 GMT-0400 (Eastern Daylight Time)</t>
  </si>
  <si>
    <t>Wed Apr 28 2021 11:13:41 GMT-0400 (Eastern Daylight Time)</t>
  </si>
  <si>
    <t>view,voice</t>
  </si>
  <si>
    <t>59d82188d27cbe7678087bbe</t>
  </si>
  <si>
    <t>Tri-City Medical Center</t>
  </si>
  <si>
    <t>Fri Oct 06 2017 20:36:24 GMT-0400 (Eastern Daylight Time)</t>
  </si>
  <si>
    <t>Tue Jan 26 2021 22:01:47 GMT-0500 (Eastern Standard Time)</t>
  </si>
  <si>
    <t>5a3973a7ff167292f70caf2c</t>
  </si>
  <si>
    <t>Alacare Home Health</t>
  </si>
  <si>
    <t>Tue Dec 19 2017 15:16:39 GMT-0500 (Eastern Standard Time)</t>
  </si>
  <si>
    <t>Sat Apr 24 2021 17:07:04 GMT-0400 (Eastern Daylight Time)</t>
  </si>
  <si>
    <t>hha,pilot,sftp,voice</t>
  </si>
  <si>
    <t>5175aab31b85b034fb00007e</t>
  </si>
  <si>
    <t>Upstate University Hospital</t>
  </si>
  <si>
    <t>Mon Apr 22 2013 17:25:07 GMT-0400 (Eastern Daylight Time)</t>
  </si>
  <si>
    <t>Mon Apr 12 2021 14:37:31 GMT-0400 (Eastern Daylight Time)</t>
  </si>
  <si>
    <t>57a25b4f4004126a83ce3a34</t>
  </si>
  <si>
    <t>Manhattan Endoscopy Center</t>
  </si>
  <si>
    <t>Wed Aug 03 2016 16:59:59 GMT-0400 (Eastern Daylight Time)</t>
  </si>
  <si>
    <t>Tue Jan 26 2021 22:01:23 GMT-0500 (Eastern Standard Time)</t>
  </si>
  <si>
    <t>asc,voice</t>
  </si>
  <si>
    <t>593dfa20d27cbe7b8f0bf41d</t>
  </si>
  <si>
    <t>John T. Mather Memorial Hospital</t>
  </si>
  <si>
    <t>Sun Jun 11 2017 22:19:12 GMT-0400 (Eastern Daylight Time)</t>
  </si>
  <si>
    <t>Mon Apr 26 2021 18:14:23 GMT-0400 (Eastern Daylight Time)</t>
  </si>
  <si>
    <t>hl7,kiosk,sso,voice</t>
  </si>
  <si>
    <t>5a95b4dcd27cbe43dacbf1b0</t>
  </si>
  <si>
    <t>Luther Manor</t>
  </si>
  <si>
    <t>Tue Feb 27 2018 14:43:24 GMT-0500 (Eastern Standard Time)</t>
  </si>
  <si>
    <t>Mon Mar 15 2021 15:37:25 GMT-0400 (Eastern Daylight Time)</t>
  </si>
  <si>
    <t>pilot,sftp,snf,voice</t>
  </si>
  <si>
    <t>5b7d9f4aff1672dd3ed72c7b</t>
  </si>
  <si>
    <t>VNA Health Group</t>
  </si>
  <si>
    <t>Wed Aug 22 2018 13:37:14 GMT-0400 (Eastern Daylight Time)</t>
  </si>
  <si>
    <t>Tue Dec 15 2020 10:03:44 GMT-0500 (Eastern Standard Time)</t>
  </si>
  <si>
    <t>52df0911677aff7bc3000097</t>
  </si>
  <si>
    <t>UC Davis</t>
  </si>
  <si>
    <t>Tue Jan 21 2014 18:56:01 GMT-0500 (Eastern Standard Time)</t>
  </si>
  <si>
    <t>Thu Apr 29 2021 14:30:12 GMT-0400 (Eastern Daylight Time)</t>
  </si>
  <si>
    <t>5594014452414968b54b0200</t>
  </si>
  <si>
    <t>Medical Center Hospital</t>
  </si>
  <si>
    <t>Wed Jul 01 2015 11:03:32 GMT-0400 (Eastern Daylight Time)</t>
  </si>
  <si>
    <t>Mon Jan 25 2021 13:41:11 GMT-0500 (Eastern Standard Time)</t>
  </si>
  <si>
    <t>53765bdf5241492816090000</t>
  </si>
  <si>
    <t>Guadalupe Regional Medical Center</t>
  </si>
  <si>
    <t>Fri May 16 2014 14:41:35 GMT-0400 (Eastern Daylight Time)</t>
  </si>
  <si>
    <t>Tue Jan 26 2021 22:01:13 GMT-0500 (Eastern Standard Time)</t>
  </si>
  <si>
    <t>5175a0671b85b061b300006f</t>
  </si>
  <si>
    <t>St. Mary's Medical Center</t>
  </si>
  <si>
    <t>Mon Apr 22 2013 16:41:11 GMT-0400 (Eastern Daylight Time)</t>
  </si>
  <si>
    <t>Wed Mar 17 2021 18:48:44 GMT-0400 (Eastern Daylight Time)</t>
  </si>
  <si>
    <t>5399d46652414911a3a70000</t>
  </si>
  <si>
    <t>Disney Hospital</t>
  </si>
  <si>
    <t>Thu Jun 12 2014 12:25:10 GMT-0400 (Eastern Daylight Time)</t>
  </si>
  <si>
    <t>Tue Dec 15 2020 09:58:00 GMT-0500 (Eastern Standard Time)</t>
  </si>
  <si>
    <t>51769d4226a97afcc800001b</t>
  </si>
  <si>
    <t>Bon Secours Health System</t>
  </si>
  <si>
    <t>Tue Apr 23 2013 10:40:02 GMT-0400 (Eastern Daylight Time)</t>
  </si>
  <si>
    <t>Tue Dec 15 2020 09:58:03 GMT-0500 (Eastern Standard Time)</t>
  </si>
  <si>
    <t>57e9e16facc0db31e083d06d</t>
  </si>
  <si>
    <t>NorthShore University HealthSystem</t>
  </si>
  <si>
    <t>Mon Sep 26 2016 23:03:11 GMT-0400 (Eastern Daylight Time)</t>
  </si>
  <si>
    <t>Fri Mar 12 2021 11:41:26 GMT-0500 (Eastern Standard Time)</t>
  </si>
  <si>
    <t>5aba9257ff1672d1d4de2a19</t>
  </si>
  <si>
    <t>SCL Health</t>
  </si>
  <si>
    <t>Tue Mar 27 2018 14:49:59 GMT-0400 (Eastern Daylight Time)</t>
  </si>
  <si>
    <t>appointment reminders,hl7,implementation,orchid,voice</t>
  </si>
  <si>
    <t>560188d45241493461290200</t>
  </si>
  <si>
    <t>St. David's HealthCare</t>
  </si>
  <si>
    <t>Tue Sep 22 2015 12:59:00 GMT-0400 (Eastern Daylight Time)</t>
  </si>
  <si>
    <t>Thu Apr 29 2021 10:06:04 GMT-0400 (Eastern Daylight Time)</t>
  </si>
  <si>
    <t>54d2252752414932c1620000</t>
  </si>
  <si>
    <t>Palmetto Health Tuomey</t>
  </si>
  <si>
    <t>Wed Feb 04 2015 08:56:55 GMT-0500 (Eastern Standard Time)</t>
  </si>
  <si>
    <t>Mon Mar 15 2021 16:16:33 GMT-0400 (Eastern Daylight Time)</t>
  </si>
  <si>
    <t>55075e4e5241491dc95b0000</t>
  </si>
  <si>
    <t>Peterson Regional Medical Center</t>
  </si>
  <si>
    <t>Mon Mar 16 2015 18:50:54 GMT-0400 (Eastern Daylight Time)</t>
  </si>
  <si>
    <t>Thu Apr 22 2021 00:00:45 GMT-0400 (Eastern Daylight Time)</t>
  </si>
  <si>
    <t>547d04ab5241493106670200</t>
  </si>
  <si>
    <t>UCLA Medical Center</t>
  </si>
  <si>
    <t>Mon Dec 01 2014 19:15:39 GMT-0500 (Eastern Standard Time)</t>
  </si>
  <si>
    <t>Fri Apr 30 2021 10:06:40 GMT-0400 (Eastern Daylight Time)</t>
  </si>
  <si>
    <t>hl7,orchid,preventive,sso,voice</t>
  </si>
  <si>
    <t>5175a6271b85b061b300008c</t>
  </si>
  <si>
    <t>Prime Healthcare</t>
  </si>
  <si>
    <t>Mon Apr 22 2013 17:05:43 GMT-0400 (Eastern Daylight Time)</t>
  </si>
  <si>
    <t>Fri Apr 02 2021 14:59:44 GMT-0400 (Eastern Daylight Time)</t>
  </si>
  <si>
    <t>5769bbc2677aff73f2589d54</t>
  </si>
  <si>
    <t>University of Missouri Health Care</t>
  </si>
  <si>
    <t>Tue Jun 21 2016 18:12:18 GMT-0400 (Eastern Daylight Time)</t>
  </si>
  <si>
    <t>Wed Mar 17 2021 18:46:40 GMT-0400 (Eastern Daylight Time)</t>
  </si>
  <si>
    <t>584067568e82a86411127b13</t>
  </si>
  <si>
    <t>Mayo Clinic</t>
  </si>
  <si>
    <t>Thu Dec 01 2016 13:09:26 GMT-0500 (Eastern Standard Time)</t>
  </si>
  <si>
    <t>Fri Apr 23 2021 09:39:09 GMT-0400 (Eastern Daylight Time)</t>
  </si>
  <si>
    <t>hl7,voice</t>
  </si>
  <si>
    <t>591db321d27cbe9587f57774</t>
  </si>
  <si>
    <t>Brookdale  University Hospital Medical Center</t>
  </si>
  <si>
    <t>Thu May 18 2017 10:43:45 GMT-0400 (Eastern Daylight Time)</t>
  </si>
  <si>
    <t>Tue Jan 26 2021 22:01:22 GMT-0500 (Eastern Standard Time)</t>
  </si>
  <si>
    <t>59540087d27cbe7850c445f2</t>
  </si>
  <si>
    <t xml:space="preserve">Mount Sinai Hospital </t>
  </si>
  <si>
    <t>Wed Jun 28 2017 15:16:23 GMT-0400 (Eastern Daylight Time)</t>
  </si>
  <si>
    <t>59f8b966d27cbeb0af4a2940</t>
  </si>
  <si>
    <t>Marketing-Events</t>
  </si>
  <si>
    <t>Tue Oct 31 2017 13:56:54 GMT-0400 (Eastern Daylight Time)</t>
  </si>
  <si>
    <t>Tue Dec 15 2020 10:02:12 GMT-0500 (Eastern Standard Time)</t>
  </si>
  <si>
    <t>marketing</t>
  </si>
  <si>
    <t>5a86345bd27cbe355e8d1d51</t>
  </si>
  <si>
    <t>StomatCare</t>
  </si>
  <si>
    <t>Thu Feb 15 2018 20:31:07 GMT-0500 (Eastern Standard Time)</t>
  </si>
  <si>
    <t>Tue Dec 15 2020 10:02:37 GMT-0500 (Eastern Standard Time)</t>
  </si>
  <si>
    <t>ambulatory,payor,preventive,voice</t>
  </si>
  <si>
    <t>5b0ef760ff16727e2a621be8</t>
  </si>
  <si>
    <t>Partners Healthcare</t>
  </si>
  <si>
    <t>Wed May 30 2018 15:11:28 GMT-0400 (Eastern Daylight Time)</t>
  </si>
  <si>
    <t>Fri Mar 26 2021 15:00:34 GMT-0400 (Eastern Daylight Time)</t>
  </si>
  <si>
    <t>54ee4d8c524149146cde0100</t>
  </si>
  <si>
    <t>Indiana University Health</t>
  </si>
  <si>
    <t>Wed Feb 25 2015 17:32:44 GMT-0500 (Eastern Standard Time)</t>
  </si>
  <si>
    <t>Tue Feb 23 2021 16:34:06 GMT-0500 (Eastern Standard Time)</t>
  </si>
  <si>
    <t>54130e4261706f24c3040000</t>
  </si>
  <si>
    <t>Henry Ford Health System</t>
  </si>
  <si>
    <t>Fri Sep 12 2014 11:16:18 GMT-0400 (Eastern Daylight Time)</t>
  </si>
  <si>
    <t>Fri Apr 23 2021 12:20:04 GMT-0400 (Eastern Daylight Time)</t>
  </si>
  <si>
    <t>hl7,kiosk,orchid,voice</t>
  </si>
  <si>
    <t>56e6d232acc0db51e30001f4</t>
  </si>
  <si>
    <t>Premier Home Health Care</t>
  </si>
  <si>
    <t>Mon Mar 14 2016 11:01:06 GMT-0400 (Eastern Daylight Time)</t>
  </si>
  <si>
    <t>Tue Dec 15 2020 09:58:39 GMT-0500 (Eastern Standard Time)</t>
  </si>
  <si>
    <t>575eb55facc0db0d0d4421f7</t>
  </si>
  <si>
    <t>Twin Lakes Regional Medical Center</t>
  </si>
  <si>
    <t>Mon Jun 13 2016 09:30:07 GMT-0400 (Eastern Daylight Time)</t>
  </si>
  <si>
    <t>Thu Dec 17 2020 09:02:36 GMT-0500 (Eastern Standard Time)</t>
  </si>
  <si>
    <t>57b22f2c4004121b3550dc06</t>
  </si>
  <si>
    <t>Princeton Community Hospital</t>
  </si>
  <si>
    <t>Mon Aug 15 2016 17:07:56 GMT-0400 (Eastern Daylight Time)</t>
  </si>
  <si>
    <t>Mon Mar 08 2021 15:55:10 GMT-0500 (Eastern Standard Time)</t>
  </si>
  <si>
    <t>5a942ea8d27cbe7de07adc06</t>
  </si>
  <si>
    <t>White Horse Village</t>
  </si>
  <si>
    <t>Mon Feb 26 2018 10:58:32 GMT-0500 (Eastern Standard Time)</t>
  </si>
  <si>
    <t>Tue Dec 15 2020 10:02:39 GMT-0500 (Eastern Standard Time)</t>
  </si>
  <si>
    <t>echo,implementation,sftp,snf,voice</t>
  </si>
  <si>
    <t>5b9fd48cff167259c8ca8681</t>
  </si>
  <si>
    <t>Hartford Healthcare</t>
  </si>
  <si>
    <t>Mon Sep 17 2018 12:21:32 GMT-0400 (Eastern Daylight Time)</t>
  </si>
  <si>
    <t>Fri Apr 16 2021 07:53:08 GMT-0400 (Eastern Daylight Time)</t>
  </si>
  <si>
    <t>kiosk,sftp,voice</t>
  </si>
  <si>
    <t>5b85617874410f23140f6a8d</t>
  </si>
  <si>
    <t>Sierra Pacific Orthopedics</t>
  </si>
  <si>
    <t>Tue Aug 28 2018 10:51:36 GMT-0400 (Eastern Daylight Time)</t>
  </si>
  <si>
    <t>Tue Feb 02 2021 14:27:16 GMT-0500 (Eastern Standard Time)</t>
  </si>
  <si>
    <t>appointment reminders,hl7,implementation</t>
  </si>
  <si>
    <t>5b7f1ffcd27cbe886d3450bf</t>
  </si>
  <si>
    <t>Frederick Memorial Hospital</t>
  </si>
  <si>
    <t>Thu Aug 23 2018 16:58:36 GMT-0400 (Eastern Daylight Time)</t>
  </si>
  <si>
    <t>Thu Apr 29 2021 14:25:46 GMT-0400 (Eastern Daylight Time)</t>
  </si>
  <si>
    <t>5c19524a74410ff8d71d9752</t>
  </si>
  <si>
    <t>Community Hospital</t>
  </si>
  <si>
    <t>Tue Dec 18 2018 15:02:18 GMT-0500 (Eastern Standard Time)</t>
  </si>
  <si>
    <t>Thu Jan 07 2021 13:04:43 GMT-0500 (Eastern Standard Time)</t>
  </si>
  <si>
    <t>echo,orchid</t>
  </si>
  <si>
    <t>5c113c1974410fc8443478d8</t>
  </si>
  <si>
    <t>Riverside University Health System</t>
  </si>
  <si>
    <t>Wed Dec 12 2018 11:49:29 GMT-0500 (Eastern Standard Time)</t>
  </si>
  <si>
    <t>Fri Apr 30 2021 17:06:50 GMT-0400 (Eastern Daylight Time)</t>
  </si>
  <si>
    <t>hl7,implementation,orchid,sftp</t>
  </si>
  <si>
    <t>5b856d97d27cbeda1d99f29c</t>
  </si>
  <si>
    <t>Advocate Health Care</t>
  </si>
  <si>
    <t>Tue Aug 28 2018 11:43:19 GMT-0400 (Eastern Daylight Time)</t>
  </si>
  <si>
    <t>Thu Apr 15 2021 10:10:44 GMT-0400 (Eastern Daylight Time)</t>
  </si>
  <si>
    <t>5b8e90cdff16721fae082110</t>
  </si>
  <si>
    <t>Tealwood Senior Living</t>
  </si>
  <si>
    <t>Tue Sep 04 2018 10:03:58 GMT-0400 (Eastern Daylight Time)</t>
  </si>
  <si>
    <t>Wed Dec 16 2020 21:54:46 GMT-0500 (Eastern Standard Time)</t>
  </si>
  <si>
    <t>pam,sftp,voice</t>
  </si>
  <si>
    <t>5bb3aadaff1672c192a61de9</t>
  </si>
  <si>
    <t>UMass Memorial Medical Center</t>
  </si>
  <si>
    <t>Tue Oct 02 2018 13:28:58 GMT-0400 (Eastern Daylight Time)</t>
  </si>
  <si>
    <t>Fri Apr 02 2021 10:40:13 GMT-0400 (Eastern Daylight Time)</t>
  </si>
  <si>
    <t>5bd8b72b74410f300b3459a9</t>
  </si>
  <si>
    <t>CHI Mercy Medical</t>
  </si>
  <si>
    <t>Tue Oct 30 2018 15:55:23 GMT-0400 (Eastern Daylight Time)</t>
  </si>
  <si>
    <t>Wed Feb 17 2021 23:12:54 GMT-0500 (Eastern Standard Time)</t>
  </si>
  <si>
    <t>5bff0048d27cbe269edde145</t>
  </si>
  <si>
    <t>Health First</t>
  </si>
  <si>
    <t>Wed Nov 28 2018 15:53:28 GMT-0500 (Eastern Standard Time)</t>
  </si>
  <si>
    <t>Wed Apr 28 2021 11:41:44 GMT-0400 (Eastern Daylight Time)</t>
  </si>
  <si>
    <t>5c86821774410faa476d70ce</t>
  </si>
  <si>
    <t>North Mississippi Health System</t>
  </si>
  <si>
    <t>Mon Mar 11 2019 11:43:20 GMT-0400 (Eastern Daylight Time)</t>
  </si>
  <si>
    <t>Mon Apr 05 2021 11:43:08 GMT-0400 (Eastern Daylight Time)</t>
  </si>
  <si>
    <t>5d545ea4d27cbe2f767a217c</t>
  </si>
  <si>
    <t>Enloe Medical Center</t>
  </si>
  <si>
    <t>Wed Aug 14 2019 15:19:00 GMT-0400 (Eastern Daylight Time)</t>
  </si>
  <si>
    <t>Mon Apr 26 2021 18:13:36 GMT-0400 (Eastern Daylight Time)</t>
  </si>
  <si>
    <t>appointment reminders,hl7,implementation,siu,sso,voice</t>
  </si>
  <si>
    <t>5ccaf480ff16726c99ab5401</t>
  </si>
  <si>
    <t>Scripps Health System</t>
  </si>
  <si>
    <t>Thu May 02 2019 09:45:36 GMT-0400 (Eastern Daylight Time)</t>
  </si>
  <si>
    <t>Sat May 01 2021 13:51:29 GMT-0400 (Eastern Daylight Time)</t>
  </si>
  <si>
    <t>5eb9b129ff1672391b6812ba</t>
  </si>
  <si>
    <t>UC Irvine</t>
  </si>
  <si>
    <t>Mon May 11 2020 16:10:17 GMT-0400 (Eastern Daylight Time)</t>
  </si>
  <si>
    <t>Wed Apr 28 2021 11:55:14 GMT-0400 (Eastern Daylight Time)</t>
  </si>
  <si>
    <t>5fc693e474410f1b1aad6bed</t>
  </si>
  <si>
    <t>Boone Memorial Hospital</t>
  </si>
  <si>
    <t>Tue Dec 01 2020 14:05:08 GMT-0500 (Eastern Standard Time)</t>
  </si>
  <si>
    <t>Fri Mar 05 2021 11:05:01 GMT-0500 (Eastern Standard Time)</t>
  </si>
  <si>
    <t>implementation,voice</t>
  </si>
  <si>
    <t>5cf7ebbad27cbe2940acf76f</t>
  </si>
  <si>
    <t>Banner Health</t>
  </si>
  <si>
    <t>Wed Jun 05 2019 12:20:10 GMT-0400 (Eastern Daylight Time)</t>
  </si>
  <si>
    <t>Thu Apr 29 2021 15:46:57 GMT-0400 (Eastern Daylight Time)</t>
  </si>
  <si>
    <t>5d39ab4cff16722bcfebaad6</t>
  </si>
  <si>
    <t>St. Croix Hospice</t>
  </si>
  <si>
    <t>Thu Jul 25 2019 09:14:52 GMT-0400 (Eastern Daylight Time)</t>
  </si>
  <si>
    <t>Mon Mar 15 2021 03:40:34 GMT-0400 (Eastern Daylight Time)</t>
  </si>
  <si>
    <t>5d9668e2d27cbe7843d42d5c</t>
  </si>
  <si>
    <t>San Joaquin General Hospital</t>
  </si>
  <si>
    <t>Thu Oct 03 2019 17:32:19 GMT-0400 (Eastern Daylight Time)</t>
  </si>
  <si>
    <t>Fri Mar 05 2021 11:02:57 GMT-0500 (Eastern Standard Time)</t>
  </si>
  <si>
    <t>preventive,sftp</t>
  </si>
  <si>
    <t>5e20d04dd27cbe3daefdd7af</t>
  </si>
  <si>
    <t>Lee Health</t>
  </si>
  <si>
    <t>Thu Jan 16 2020 16:06:21 GMT-0500 (Eastern Standard Time)</t>
  </si>
  <si>
    <t>Thu Apr 29 2021 10:19:59 GMT-0400 (Eastern Daylight Time)</t>
  </si>
  <si>
    <t>5eb247d0d27cbe3a85648c8c</t>
  </si>
  <si>
    <t>Chinchilla Mansion</t>
  </si>
  <si>
    <t>Wed May 06 2020 01:14:56 GMT-0400 (Eastern Daylight Time)</t>
  </si>
  <si>
    <t>Tue Dec 15 2020 10:05:50 GMT-0500 (Eastern Standard Time)</t>
  </si>
  <si>
    <t>5fe2604cd27cbef4e57fa1bc</t>
  </si>
  <si>
    <t>(HL7 Test Provider) Guardian Angels Elim Home Care and Hospice</t>
  </si>
  <si>
    <t>Tue Dec 22 2020 16:08:28 GMT-0500 (Eastern Standard Time)</t>
  </si>
  <si>
    <t>Wed Apr 14 2021 21:26:17 GMT-0400 (Eastern Daylight Time)</t>
  </si>
  <si>
    <t>hl7</t>
  </si>
  <si>
    <t>5ffdbd20ff1672dfd8901854</t>
  </si>
  <si>
    <t>EvergreenHealth (HL7 Test)</t>
  </si>
  <si>
    <t>Tue Jan 12 2021 10:15:44 GMT-0500 (Eastern Standard Time)</t>
  </si>
  <si>
    <t>Mon Feb 22 2021 16:42:50 GMT-0500 (Eastern Standard Time)</t>
  </si>
  <si>
    <t>hl7,sftp</t>
  </si>
  <si>
    <t>5ffdbe5fff1672df03927684</t>
  </si>
  <si>
    <t>HL7 Test Care Provider (At Home Healthcare)</t>
  </si>
  <si>
    <t>Tue Jan 12 2021 10:21:03 GMT-0500 (Eastern Standard Time)</t>
  </si>
  <si>
    <t>Mon Apr 05 2021 09:43:17 GMT-0400 (Eastern Daylight Time)</t>
  </si>
  <si>
    <t>5bd21c4b74410f37d4fcfc76</t>
  </si>
  <si>
    <t>Good Samaritan Society</t>
  </si>
  <si>
    <t>Thu Oct 25 2018 15:40:59 GMT-0400 (Eastern Daylight Time)</t>
  </si>
  <si>
    <t>Thu Jan 28 2021 13:48:16 GMT-0500 (Eastern Standard Time)</t>
  </si>
  <si>
    <t>pam,sftp,snf,voice</t>
  </si>
  <si>
    <t>5e4d58ebd27cbee741c1a244</t>
  </si>
  <si>
    <t>Cone Health</t>
  </si>
  <si>
    <t>Wed Feb 19 2020 10:48:59 GMT-0500 (Eastern Standard Time)</t>
  </si>
  <si>
    <t>Thu Mar 25 2021 17:51:32 GMT-0400 (Eastern Daylight Time)</t>
  </si>
  <si>
    <t>ambulatory,hl7,implementation,orchid</t>
  </si>
  <si>
    <t>5b990c43ff16725e9ba7f3a7</t>
  </si>
  <si>
    <t>Stanford Health Care</t>
  </si>
  <si>
    <t>Wed Sep 12 2018 08:53:23 GMT-0400 (Eastern Daylight Time)</t>
  </si>
  <si>
    <t>Thu Apr 15 2021 14:22:49 GMT-0400 (Eastern Daylight Time)</t>
  </si>
  <si>
    <t>hl7,orchid,sftp,sso</t>
  </si>
  <si>
    <t>5cc71131ff167294e9961eed</t>
  </si>
  <si>
    <t>Buckeye Home Health</t>
  </si>
  <si>
    <t>Mon Apr 29 2019 10:58:57 GMT-0400 (Eastern Daylight Time)</t>
  </si>
  <si>
    <t>Thu Oct 15 2020 21:39:13 GMT-0400 (Eastern Daylight Time)</t>
  </si>
  <si>
    <t>5e6fdb96ff16724bb609d626</t>
  </si>
  <si>
    <t>Keck Medicine of USC</t>
  </si>
  <si>
    <t>Mon Mar 16 2020 16:03:34 GMT-0400 (Eastern Daylight Time)</t>
  </si>
  <si>
    <t>Fri Mar 26 2021 14:18:18 GMT-0400 (Eastern Daylight Time)</t>
  </si>
  <si>
    <t>5e961030ff1672331b6daf3a</t>
  </si>
  <si>
    <t>Jenny Jung CP</t>
  </si>
  <si>
    <t>Tue Apr 14 2020 15:34:08 GMT-0400 (Eastern Daylight Time)</t>
  </si>
  <si>
    <t>Thu Apr 29 2021 13:14:03 GMT-0400 (Eastern Daylight Time)</t>
  </si>
  <si>
    <t>602e7e77ff167245043a233d</t>
  </si>
  <si>
    <t>(HL7 Test Provider) Homecare Holdings</t>
  </si>
  <si>
    <t>Thu Feb 18 2021 09:49:27 GMT-0500 (Eastern Standard Time)</t>
  </si>
  <si>
    <t>Wed Apr 21 2021 16:03:18 GMT-0400 (Eastern Daylight Time)</t>
  </si>
  <si>
    <t>5d372c43d27cbef3dfe62fd1</t>
  </si>
  <si>
    <t>Amerikan Hastanesi</t>
  </si>
  <si>
    <t>Tue Jul 23 2019 11:48:19 GMT-0400 (Eastern Daylight Time)</t>
  </si>
  <si>
    <t>Tue Dec 15 2020 10:05:00 GMT-0500 (Eastern Standard Time)</t>
  </si>
  <si>
    <t>orchid,pilot</t>
  </si>
  <si>
    <t>5ea76302ff1672344f700d05</t>
  </si>
  <si>
    <t>Well Care Home Health (HL7 Test CP)</t>
  </si>
  <si>
    <t>Mon Apr 27 2020 18:56:02 GMT-0400 (Eastern Daylight Time)</t>
  </si>
  <si>
    <t>Wed Dec 09 2020 15:53:52 GMT-0500 (Eastern Standard Time)</t>
  </si>
  <si>
    <t>5cd03c15d27cbe3fc1eab596</t>
  </si>
  <si>
    <t>Charles B. Wang Community Health Center</t>
  </si>
  <si>
    <t>Mon May 06 2019 09:52:21 GMT-0400 (Eastern Daylight Time)</t>
  </si>
  <si>
    <t>Wed Mar 31 2021 11:02:31 GMT-0400 (Eastern Daylight Time)</t>
  </si>
  <si>
    <t>appointment reminders,implementation,sftp,voice</t>
  </si>
  <si>
    <t>5d2f34f0d27cbe64350849b7</t>
  </si>
  <si>
    <t>Willis Knighton Health System</t>
  </si>
  <si>
    <t>Wed Jul 17 2019 10:47:12 GMT-0400 (Eastern Daylight Time)</t>
  </si>
  <si>
    <t>Mon Mar 15 2021 13:42:15 GMT-0400 (Eastern Daylight Time)</t>
  </si>
  <si>
    <t>5c923f12d27cbe7b9a209c1b</t>
  </si>
  <si>
    <t>United Health Services</t>
  </si>
  <si>
    <t>Wed Mar 20 2019 09:24:34 GMT-0400 (Eastern Daylight Time)</t>
  </si>
  <si>
    <t>Tue Sep 15 2020 18:19:51 GMT-0400 (Eastern Daylight Time)</t>
  </si>
  <si>
    <t>5dd5960aff1672272a9a1f70</t>
  </si>
  <si>
    <t>Culpeper Hospital</t>
  </si>
  <si>
    <t>Wed Nov 20 2019 14:37:46 GMT-0500 (Eastern Standard Time)</t>
  </si>
  <si>
    <t>Wed Mar 17 2021 18:44:01 GMT-0400 (Eastern Daylight Time)</t>
  </si>
  <si>
    <t>hl7,orchid,sftp</t>
  </si>
  <si>
    <t>5e4323dcff16723c334beeeb</t>
  </si>
  <si>
    <t>OptimaHealth</t>
  </si>
  <si>
    <t>Tue Feb 11 2020 16:59:56 GMT-0500 (Eastern Standard Time)</t>
  </si>
  <si>
    <t>Mon Apr 26 2021 16:55:32 GMT-0400 (Eastern Daylight Time)</t>
  </si>
  <si>
    <t>5f16f01174410facfa8ce7cd</t>
  </si>
  <si>
    <t>Regal Medical Group</t>
  </si>
  <si>
    <t>Tue Jul 21 2020 09:39:29 GMT-0400 (Eastern Daylight Time)</t>
  </si>
  <si>
    <t>Mon Apr 26 2021 13:25:08 GMT-0400 (Eastern Daylight Time)</t>
  </si>
  <si>
    <t>5dcdc295d27cbe63f6c3df60</t>
  </si>
  <si>
    <t>Cabell Huntington Hospital</t>
  </si>
  <si>
    <t>Thu Nov 14 2019 16:09:41 GMT-0500 (Eastern Standard Time)</t>
  </si>
  <si>
    <t>Wed Mar 17 2021 18:47:56 GMT-0400 (Eastern Daylight Time)</t>
  </si>
  <si>
    <t>5cc6fb4ad27cbe42ea3b004c</t>
  </si>
  <si>
    <t>Disney Health Plan</t>
  </si>
  <si>
    <t>Mon Apr 29 2019 09:25:30 GMT-0400 (Eastern Daylight Time)</t>
  </si>
  <si>
    <t>Tue Dec 15 2020 10:04:53 GMT-0500 (Eastern Standard Time)</t>
  </si>
  <si>
    <t>5e385f88ff167237f8c782d5</t>
  </si>
  <si>
    <t>Hamilton Health Care System</t>
  </si>
  <si>
    <t>Mon Feb 03 2020 12:59:36 GMT-0500 (Eastern Standard Time)</t>
  </si>
  <si>
    <t>5ffdbd77ff1672e09c8f2f1b</t>
  </si>
  <si>
    <t>EvergreenHealth</t>
  </si>
  <si>
    <t>Tue Jan 12 2021 10:17:11 GMT-0500 (Eastern Standard Time)</t>
  </si>
  <si>
    <t>Fri Apr 30 2021 14:10:30 GMT-0400 (Eastern Daylight Time)</t>
  </si>
  <si>
    <t>5b968f8dff16729f0fae928c</t>
  </si>
  <si>
    <t>AnMed Health</t>
  </si>
  <si>
    <t>Mon Sep 10 2018 11:36:45 GMT-0400 (Eastern Daylight Time)</t>
  </si>
  <si>
    <t>Tue Apr 27 2021 15:32:26 GMT-0400 (Eastern Daylight Time)</t>
  </si>
  <si>
    <t>5ffdbe2bff1672e1808e53f4</t>
  </si>
  <si>
    <t>Homecare Holdings</t>
  </si>
  <si>
    <t>Tue Jan 12 2021 10:20:11 GMT-0500 (Eastern Standard Time)</t>
  </si>
  <si>
    <t>Tue Apr 27 2021 10:10:28 GMT-0400 (Eastern Daylight Time)</t>
  </si>
  <si>
    <t>5ca64c89d27cbef492462703</t>
  </si>
  <si>
    <t>MultiCare Health System</t>
  </si>
  <si>
    <t>Thu Apr 04 2019 14:27:21 GMT-0400 (Eastern Daylight Time)</t>
  </si>
  <si>
    <t>Thu Apr 29 2021 15:03:08 GMT-0400 (Eastern Daylight Time)</t>
  </si>
  <si>
    <t>5cae1530ff1672f96aa895a0</t>
  </si>
  <si>
    <t>Management Solutions</t>
  </si>
  <si>
    <t>Wed Apr 10 2019 12:09:20 GMT-0400 (Eastern Daylight Time)</t>
  </si>
  <si>
    <t>Fri Mar 19 2021 13:11:16 GMT-0400 (Eastern Daylight Time)</t>
  </si>
  <si>
    <t>5ceecbd0ff16729c31b2d17c</t>
  </si>
  <si>
    <t>St. Bernards Medical Center</t>
  </si>
  <si>
    <t>Wed May 29 2019 14:13:36 GMT-0400 (Eastern Daylight Time)</t>
  </si>
  <si>
    <t>Tue Jan 19 2021 16:28:12 GMT-0500 (Eastern Standard Time)</t>
  </si>
  <si>
    <t>5d94bf9ed27cbe77a6d2275e</t>
  </si>
  <si>
    <t xml:space="preserve">Texas Health Resources </t>
  </si>
  <si>
    <t>Wed Oct 02 2019 11:17:50 GMT-0400 (Eastern Daylight Time)</t>
  </si>
  <si>
    <t>Wed Apr 21 2021 18:05:13 GMT-0400 (Eastern Daylight Time)</t>
  </si>
  <si>
    <t>5e4c36ced27cbe07d743e8d6</t>
  </si>
  <si>
    <t>Baptist Medical Center South</t>
  </si>
  <si>
    <t>Tue Feb 18 2020 14:11:10 GMT-0500 (Eastern Standard Time)</t>
  </si>
  <si>
    <t>Tue Jan 26 2021 22:01:52 GMT-0500 (Eastern Standard Time)</t>
  </si>
  <si>
    <t>5efc8b7bff1672fe6965e44f</t>
  </si>
  <si>
    <t>AMSURG</t>
  </si>
  <si>
    <t>Wed Jul 01 2020 09:11:23 GMT-0400 (Eastern Daylight Time)</t>
  </si>
  <si>
    <t>Thu Feb 25 2021 13:38:32 GMT-0500 (Eastern Standard Time)</t>
  </si>
  <si>
    <t>5f7f73c7ff16727be9020e62</t>
  </si>
  <si>
    <t>HCA</t>
  </si>
  <si>
    <t>Thu Oct 08 2020 16:17:11 GMT-0400 (Eastern Daylight Time)</t>
  </si>
  <si>
    <t>Wed Feb 17 2021 14:55:56 GMT-0500 (Eastern Standard Time)</t>
  </si>
  <si>
    <t>5b9a88c1d27cbea5b9cfd739</t>
  </si>
  <si>
    <t>ArchCare</t>
  </si>
  <si>
    <t>Thu Sep 13 2018 11:56:49 GMT-0400 (Eastern Daylight Time)</t>
  </si>
  <si>
    <t>Mon Apr 05 2021 11:24:14 GMT-0400 (Eastern Daylight Time)</t>
  </si>
  <si>
    <t>5ba538c7ff1672c3f4d69fde</t>
  </si>
  <si>
    <t>Care Gaps Disney</t>
  </si>
  <si>
    <t>Fri Sep 21 2018 14:30:31 GMT-0400 (Eastern Daylight Time)</t>
  </si>
  <si>
    <t>Tue Dec 15 2020 10:03:54 GMT-0500 (Eastern Standard Time)</t>
  </si>
  <si>
    <t>5c6f8101ff167233097621ec</t>
  </si>
  <si>
    <t>SightMD</t>
  </si>
  <si>
    <t>Thu Feb 21 2019 23:56:33 GMT-0500 (Eastern Standard Time)</t>
  </si>
  <si>
    <t>Tue Jan 26 2021 22:01:11 GMT-0500 (Eastern Standard Time)</t>
  </si>
  <si>
    <t>appointment reminders,implementation,preventive,sftp</t>
  </si>
  <si>
    <t>5c8bffe374410f54b353c239</t>
  </si>
  <si>
    <t>Jupiter Medical Center</t>
  </si>
  <si>
    <t>Fri Mar 15 2019 15:41:24 GMT-0400 (Eastern Daylight Time)</t>
  </si>
  <si>
    <t>Tue Jan 26 2021 22:01:30 GMT-0500 (Eastern Standard Time)</t>
  </si>
  <si>
    <t>5ccaf43cff167268f7aef4c0</t>
  </si>
  <si>
    <t>Stony Brook Community Medical Center</t>
  </si>
  <si>
    <t>Thu May 02 2019 09:44:28 GMT-0400 (Eastern Daylight Time)</t>
  </si>
  <si>
    <t>Tue Apr 06 2021 10:18:23 GMT-0400 (Eastern Daylight Time)</t>
  </si>
  <si>
    <t>appointment reminders,hl7,implementation,voice</t>
  </si>
  <si>
    <t>5de9615aff1672b488aab42a</t>
  </si>
  <si>
    <t>Sarasota Memorial Hospital</t>
  </si>
  <si>
    <t>Thu Dec 05 2019 14:58:18 GMT-0500 (Eastern Standard Time)</t>
  </si>
  <si>
    <t>Fri Apr 30 2021 15:39:35 GMT-0400 (Eastern Daylight Time)</t>
  </si>
  <si>
    <t>5e0e1c99ff1672435dfe154c</t>
  </si>
  <si>
    <t>Licking Memorial Hospital</t>
  </si>
  <si>
    <t>Thu Jan 02 2020 11:38:49 GMT-0500 (Eastern Standard Time)</t>
  </si>
  <si>
    <t>Fri Mar 05 2021 11:01:36 GMT-0500 (Eastern Standard Time)</t>
  </si>
  <si>
    <t>hl7,implementation,sso</t>
  </si>
  <si>
    <t>5efa4ab774410f5aff987f55</t>
  </si>
  <si>
    <t>One Homecare Solutions</t>
  </si>
  <si>
    <t>Mon Jun 29 2020 16:10:31 GMT-0400 (Eastern Daylight Time)</t>
  </si>
  <si>
    <t>Thu Dec 17 2020 06:54:35 GMT-0500 (Eastern Standard Time)</t>
  </si>
  <si>
    <t>5f4d41c2ff1672a740672261</t>
  </si>
  <si>
    <t>Phelps Health</t>
  </si>
  <si>
    <t>Mon Aug 31 2020 14:30:26 GMT-0400 (Eastern Daylight Time)</t>
  </si>
  <si>
    <t>Tue Apr 06 2021 14:04:56 GMT-0400 (Eastern Daylight Time)</t>
  </si>
  <si>
    <t>5c5db16eff16727387d03f13</t>
  </si>
  <si>
    <t>Aurora at Home</t>
  </si>
  <si>
    <t>Fri Feb 08 2019 11:42:22 GMT-0500 (Eastern Standard Time)</t>
  </si>
  <si>
    <t>Tue Apr 27 2021 16:10:14 GMT-0400 (Eastern Daylight Time)</t>
  </si>
  <si>
    <t>hha,sftp</t>
  </si>
  <si>
    <t>5d485ddcd27cbe03be05c5e9</t>
  </si>
  <si>
    <t>iCare</t>
  </si>
  <si>
    <t>Mon Aug 05 2019 12:48:28 GMT-0400 (Eastern Daylight Time)</t>
  </si>
  <si>
    <t>5f6cfa87d27cbe1015ecf0b2</t>
  </si>
  <si>
    <t>Quinn Test CP</t>
  </si>
  <si>
    <t>Thu Sep 24 2020 15:59:03 GMT-0400 (Eastern Daylight Time)</t>
  </si>
  <si>
    <t>Thu Sep 24 2020 16:03:36 GMT-0400 (Eastern Daylight Time)</t>
  </si>
  <si>
    <t>605c7eefd27cbe72e098319e</t>
  </si>
  <si>
    <t>Guardian Angels Elim Home Care and Hospice</t>
  </si>
  <si>
    <t>Thu Mar 25 2021 08:15:43 GMT-0400 (Eastern Daylight Time)</t>
  </si>
  <si>
    <t>Tue Apr 13 2021 15:58:36 GMT-0400 (Eastern Daylight Time)</t>
  </si>
  <si>
    <t>607890f974410f33fdfcea7d</t>
  </si>
  <si>
    <t>El Camino Health</t>
  </si>
  <si>
    <t>Thu Apr 15 2021 15:16:09 GMT-0400 (Eastern Daylight Time)</t>
  </si>
  <si>
    <t>Fri Apr 30 2021 16:30:52 GMT-0400 (Eastern Daylight Time)</t>
  </si>
  <si>
    <t>607efbcdd27cbe246d3c746e</t>
  </si>
  <si>
    <t>Carpenter Health</t>
  </si>
  <si>
    <t>Tue Apr 20 2021 12:05:33 GMT-0400 (Eastern Daylight Time)</t>
  </si>
  <si>
    <t>Tue Apr 20 2021 12:08:02 GMT-0400 (Eastern Daylight Time)</t>
  </si>
  <si>
    <t>Call Attempts Size</t>
  </si>
  <si>
    <t>Archived Call Attempts Size</t>
  </si>
  <si>
    <t>Patient Issues Size</t>
  </si>
  <si>
    <t>Patient Events Size</t>
  </si>
  <si>
    <t>Unit Visits Size</t>
  </si>
  <si>
    <t>Collection</t>
  </si>
  <si>
    <t>Average Object Size</t>
  </si>
  <si>
    <t>Patients</t>
  </si>
  <si>
    <t>Encounters</t>
  </si>
  <si>
    <t>Interactions</t>
  </si>
  <si>
    <t>Enrollments</t>
  </si>
  <si>
    <t>Call Attempts</t>
  </si>
  <si>
    <t>Archieved Call Attempts</t>
  </si>
  <si>
    <t>Patients Size</t>
  </si>
  <si>
    <t>Encounters Size</t>
  </si>
  <si>
    <t>Interactions Size</t>
  </si>
  <si>
    <t>Enrollments Size</t>
  </si>
  <si>
    <t>Estimation Total</t>
  </si>
  <si>
    <t>Est. Total GB</t>
  </si>
  <si>
    <t>Age</t>
  </si>
  <si>
    <t>Estimated Size (Bytes)</t>
  </si>
  <si>
    <t>Estimated Size (GB)</t>
  </si>
  <si>
    <t>&gt;= 90 Days</t>
  </si>
  <si>
    <t>&gt;= 365 Days</t>
  </si>
  <si>
    <t>Total Docs</t>
  </si>
  <si>
    <t>Column1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</si>
</sst>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11" fontId="0" fillId="0" borderId="0" xfId="0" applyNumberFormat="1"/>
    <xf numFmtId="1" fontId="0" fillId="0" borderId="0" xfId="0" applyNumberFormat="1"/>
    <xf numFmtId="3" fontId="0" fillId="0" borderId="0" xfId="0" applyNumberFormat="1"/>
    <xf numFmtId="2" fontId="0" fillId="0" borderId="0" xfId="0" applyNumberFormat="1"/>
    <xf numFmtId="4" fontId="0" fillId="0" borderId="0" xfId="0" applyNumberFormat="1"/>
    <xf numFmtId="15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82"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4" formatCode="#,##0.0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  <dxf>
      <numFmt numFmtId="2" formatCode="0.0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1" formatCode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P193" totalsRowShown="0">
  <autoFilter ref="A1:P193" xr:uid="{00000000-0009-0000-0100-000001000000}"/>
  <sortState xmlns:xlrd2="http://schemas.microsoft.com/office/spreadsheetml/2017/richdata2" ref="A2:P193">
    <sortCondition ref="B1:B193"/>
  </sortState>
  <tableColumns count="16">
    <tableColumn id="1" xr3:uid="{00000000-0010-0000-0000-000001000000}" name="ID"/>
    <tableColumn id="2" xr3:uid="{00000000-0010-0000-0000-000002000000}" name="NAME"/>
    <tableColumn id="3" xr3:uid="{00000000-0010-0000-0000-000003000000}" name="CREATED"/>
    <tableColumn id="4" xr3:uid="{00000000-0010-0000-0000-000004000000}" name="CREATED (MS)" dataDxfId="81"/>
    <tableColumn id="5" xr3:uid="{00000000-0010-0000-0000-000005000000}" name="UPDATED"/>
    <tableColumn id="6" xr3:uid="{00000000-0010-0000-0000-000006000000}" name="UPDATED (MS)" dataDxfId="80"/>
    <tableColumn id="7" xr3:uid="{00000000-0010-0000-0000-000007000000}" name="TAGS"/>
    <tableColumn id="8" xr3:uid="{00000000-0010-0000-0000-000008000000}" name="Patient Count" dataDxfId="79"/>
    <tableColumn id="9" xr3:uid="{00000000-0010-0000-0000-000009000000}" name="Encounter Count" dataDxfId="78"/>
    <tableColumn id="10" xr3:uid="{00000000-0010-0000-0000-00000A000000}" name="Interaction Count" dataDxfId="77"/>
    <tableColumn id="11" xr3:uid="{00000000-0010-0000-0000-00000B000000}" name="Enrollment Count" dataDxfId="76"/>
    <tableColumn id="12" xr3:uid="{00000000-0010-0000-0000-00000C000000}" name="Call Attempts Count" dataDxfId="75"/>
    <tableColumn id="13" xr3:uid="{00000000-0010-0000-0000-00000D000000}" name="Archived Call Attempts Count" dataDxfId="74"/>
    <tableColumn id="14" xr3:uid="{00000000-0010-0000-0000-00000E000000}" name="Patient Issues" dataDxfId="73"/>
    <tableColumn id="15" xr3:uid="{00000000-0010-0000-0000-00000F000000}" name="Patient Events" dataDxfId="72"/>
    <tableColumn id="16" xr3:uid="{00000000-0010-0000-0000-000010000000}" name="Unit Visits" dataDxfId="7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1000000}" name="Table10" displayName="Table10" ref="A1:M193" totalsRowShown="0">
  <autoFilter ref="A1:M193" xr:uid="{00000000-0009-0000-0100-00000A000000}"/>
  <tableColumns count="13">
    <tableColumn id="1" xr3:uid="{00000000-0010-0000-0100-000001000000}" name="ID"/>
    <tableColumn id="2" xr3:uid="{00000000-0010-0000-0100-000002000000}" name="NAME"/>
    <tableColumn id="3" xr3:uid="{00000000-0010-0000-0100-000003000000}" name="Patients Size" dataDxfId="70"/>
    <tableColumn id="4" xr3:uid="{00000000-0010-0000-0100-000004000000}" name="Encounters Size" dataDxfId="69"/>
    <tableColumn id="5" xr3:uid="{00000000-0010-0000-0100-000005000000}" name="Interactions Size" dataDxfId="68"/>
    <tableColumn id="6" xr3:uid="{00000000-0010-0000-0100-000006000000}" name="Enrollments Size" dataDxfId="67"/>
    <tableColumn id="7" xr3:uid="{00000000-0010-0000-0100-000007000000}" name="Call Attempts Size" dataDxfId="66"/>
    <tableColumn id="8" xr3:uid="{00000000-0010-0000-0100-000008000000}" name="Archived Call Attempts Size" dataDxfId="65"/>
    <tableColumn id="9" xr3:uid="{00000000-0010-0000-0100-000009000000}" name="Patient Issues Size" dataDxfId="64"/>
    <tableColumn id="10" xr3:uid="{00000000-0010-0000-0100-00000A000000}" name="Patient Events Size" dataDxfId="63"/>
    <tableColumn id="11" xr3:uid="{00000000-0010-0000-0100-00000B000000}" name="Unit Visits Size" dataDxfId="62"/>
    <tableColumn id="12" xr3:uid="{00000000-0010-0000-0100-00000C000000}" name="Estimation Total" dataDxfId="61">
      <calculatedColumnFormula>SUM(C2:K2)</calculatedColumnFormula>
    </tableColumn>
    <tableColumn id="13" xr3:uid="{00000000-0010-0000-0100-00000D000000}" name="Est. Total GB" dataDxfId="60">
      <calculatedColumnFormula>CONVERT(Table10[[#This Row],[Estimation Total]],"byte","Gibyte")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2" displayName="Table2" ref="A1:Q194" totalsRowCount="1">
  <autoFilter ref="A1:Q193" xr:uid="{00000000-0009-0000-0100-000002000000}"/>
  <sortState xmlns:xlrd2="http://schemas.microsoft.com/office/spreadsheetml/2017/richdata2" ref="A2:P193">
    <sortCondition descending="1" ref="K1:K193"/>
  </sortState>
  <tableColumns count="17">
    <tableColumn id="1" xr3:uid="{00000000-0010-0000-0200-000001000000}" name="ID"/>
    <tableColumn id="2" xr3:uid="{00000000-0010-0000-0200-000002000000}" name="NAME"/>
    <tableColumn id="3" xr3:uid="{00000000-0010-0000-0200-000003000000}" name="CREATED"/>
    <tableColumn id="4" xr3:uid="{00000000-0010-0000-0200-000004000000}" name="CREATED (MS)" dataDxfId="59" totalsRowDxfId="11"/>
    <tableColumn id="5" xr3:uid="{00000000-0010-0000-0200-000005000000}" name="UPDATED"/>
    <tableColumn id="6" xr3:uid="{00000000-0010-0000-0200-000006000000}" name="UPDATED (MS)" dataDxfId="58" totalsRowDxfId="10"/>
    <tableColumn id="7" xr3:uid="{00000000-0010-0000-0200-000007000000}" name="TAGS"/>
    <tableColumn id="8" xr3:uid="{00000000-0010-0000-0200-000008000000}" name="Patient Count" dataDxfId="57" totalsRowDxfId="9"/>
    <tableColumn id="9" xr3:uid="{00000000-0010-0000-0200-000009000000}" name="Encounter Count" dataDxfId="56" totalsRowDxfId="8"/>
    <tableColumn id="10" xr3:uid="{00000000-0010-0000-0200-00000A000000}" name="Interaction Count" dataDxfId="55" totalsRowDxfId="7"/>
    <tableColumn id="11" xr3:uid="{00000000-0010-0000-0200-00000B000000}" name="Enrollment Count" dataDxfId="54" totalsRowDxfId="6"/>
    <tableColumn id="12" xr3:uid="{00000000-0010-0000-0200-00000C000000}" name="Call Attempts Count" dataDxfId="53" totalsRowDxfId="5"/>
    <tableColumn id="13" xr3:uid="{00000000-0010-0000-0200-00000D000000}" name="Archived Call Attempts Count" dataDxfId="52" totalsRowDxfId="4"/>
    <tableColumn id="14" xr3:uid="{00000000-0010-0000-0200-00000E000000}" name="Patient Issues" dataDxfId="51" totalsRowDxfId="3"/>
    <tableColumn id="15" xr3:uid="{00000000-0010-0000-0200-00000F000000}" name="Patient Events" dataDxfId="50" totalsRowDxfId="2"/>
    <tableColumn id="16" xr3:uid="{00000000-0010-0000-0200-000010000000}" name="Unit Visits" dataDxfId="49" totalsRowDxfId="1"/>
    <tableColumn id="17" xr3:uid="{4610BE4E-D0F2-1940-8574-B0006836B6CB}" name="Column1" totalsRowFunction="custom" dataDxfId="12" totalsRowDxfId="0">
      <calculatedColumnFormula>SUM(H2:P2)</calculatedColumnFormula>
      <totalsRowFormula>SUM(Q2:Q193)</totalsRow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3000000}" name="Table6" displayName="Table6" ref="A1:M193" totalsRowShown="0">
  <autoFilter ref="A1:M193" xr:uid="{00000000-0009-0000-0100-000006000000}"/>
  <sortState xmlns:xlrd2="http://schemas.microsoft.com/office/spreadsheetml/2017/richdata2" ref="A2:M193">
    <sortCondition descending="1" ref="M1:M193"/>
  </sortState>
  <tableColumns count="13">
    <tableColumn id="1" xr3:uid="{00000000-0010-0000-0300-000001000000}" name="ID"/>
    <tableColumn id="2" xr3:uid="{00000000-0010-0000-0300-000002000000}" name="NAME"/>
    <tableColumn id="3" xr3:uid="{00000000-0010-0000-0300-000003000000}" name="Patients Size" dataDxfId="48"/>
    <tableColumn id="4" xr3:uid="{00000000-0010-0000-0300-000004000000}" name="Encounters Size" dataDxfId="47"/>
    <tableColumn id="5" xr3:uid="{00000000-0010-0000-0300-000005000000}" name="Interactions Size" dataDxfId="46"/>
    <tableColumn id="6" xr3:uid="{00000000-0010-0000-0300-000006000000}" name="Enrollments Size" dataDxfId="45"/>
    <tableColumn id="7" xr3:uid="{00000000-0010-0000-0300-000007000000}" name="Call Attempts Size" dataDxfId="44"/>
    <tableColumn id="8" xr3:uid="{00000000-0010-0000-0300-000008000000}" name="Archived Call Attempts Size" dataDxfId="43"/>
    <tableColumn id="9" xr3:uid="{00000000-0010-0000-0300-000009000000}" name="Patient Issues Size" dataDxfId="42"/>
    <tableColumn id="10" xr3:uid="{00000000-0010-0000-0300-00000A000000}" name="Patient Events Size" dataDxfId="41"/>
    <tableColumn id="11" xr3:uid="{00000000-0010-0000-0300-00000B000000}" name="Unit Visits Size" dataDxfId="40"/>
    <tableColumn id="12" xr3:uid="{00000000-0010-0000-0300-00000C000000}" name="Estimation Total" dataDxfId="39">
      <calculatedColumnFormula>SUM(C2:K2)</calculatedColumnFormula>
    </tableColumn>
    <tableColumn id="13" xr3:uid="{00000000-0010-0000-0300-00000D000000}" name="Est. Total GB" dataDxfId="38">
      <calculatedColumnFormula>CONVERT(Table6[[#This Row],[Estimation Total]],"byte","Gibyte")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4000000}" name="Table3" displayName="Table3" ref="A1:P193" totalsRowShown="0">
  <autoFilter ref="A1:P193" xr:uid="{00000000-0009-0000-0100-000003000000}"/>
  <sortState xmlns:xlrd2="http://schemas.microsoft.com/office/spreadsheetml/2017/richdata2" ref="A2:P193">
    <sortCondition descending="1" ref="H1:H193"/>
  </sortState>
  <tableColumns count="16">
    <tableColumn id="1" xr3:uid="{00000000-0010-0000-0400-000001000000}" name="ID"/>
    <tableColumn id="2" xr3:uid="{00000000-0010-0000-0400-000002000000}" name="NAME"/>
    <tableColumn id="3" xr3:uid="{00000000-0010-0000-0400-000003000000}" name="CREATED"/>
    <tableColumn id="4" xr3:uid="{00000000-0010-0000-0400-000004000000}" name="CREATED (MS)" dataDxfId="23"/>
    <tableColumn id="5" xr3:uid="{00000000-0010-0000-0400-000005000000}" name="UPDATED"/>
    <tableColumn id="6" xr3:uid="{00000000-0010-0000-0400-000006000000}" name="UPDATED (MS)" dataDxfId="22"/>
    <tableColumn id="7" xr3:uid="{00000000-0010-0000-0400-000007000000}" name="TAGS"/>
    <tableColumn id="8" xr3:uid="{00000000-0010-0000-0400-000008000000}" name="Patient Count" dataDxfId="21"/>
    <tableColumn id="9" xr3:uid="{00000000-0010-0000-0400-000009000000}" name="Encounter Count" dataDxfId="20"/>
    <tableColumn id="10" xr3:uid="{00000000-0010-0000-0400-00000A000000}" name="Interaction Count" dataDxfId="19"/>
    <tableColumn id="11" xr3:uid="{00000000-0010-0000-0400-00000B000000}" name="Enrollment Count" dataDxfId="18"/>
    <tableColumn id="12" xr3:uid="{00000000-0010-0000-0400-00000C000000}" name="Call Attempts Count" dataDxfId="17"/>
    <tableColumn id="13" xr3:uid="{00000000-0010-0000-0400-00000D000000}" name="Archived Call Attempts Count" dataDxfId="16"/>
    <tableColumn id="14" xr3:uid="{00000000-0010-0000-0400-00000E000000}" name="Patient Issues" dataDxfId="15"/>
    <tableColumn id="15" xr3:uid="{00000000-0010-0000-0400-00000F000000}" name="Patient Events" dataDxfId="14"/>
    <tableColumn id="16" xr3:uid="{00000000-0010-0000-0400-000010000000}" name="Unit Visits" dataDxfId="13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5000000}" name="Table7" displayName="Table7" ref="A1:M193" totalsRowShown="0" headerRowDxfId="37">
  <autoFilter ref="A1:M193" xr:uid="{00000000-0009-0000-0100-000007000000}"/>
  <sortState xmlns:xlrd2="http://schemas.microsoft.com/office/spreadsheetml/2017/richdata2" ref="A2:M193">
    <sortCondition ref="B1:B193"/>
  </sortState>
  <tableColumns count="13">
    <tableColumn id="1" xr3:uid="{00000000-0010-0000-0500-000001000000}" name="ID"/>
    <tableColumn id="2" xr3:uid="{00000000-0010-0000-0500-000002000000}" name="NAME"/>
    <tableColumn id="3" xr3:uid="{00000000-0010-0000-0500-000003000000}" name="Patients Size" dataDxfId="36"/>
    <tableColumn id="4" xr3:uid="{00000000-0010-0000-0500-000004000000}" name="Encounters Size" dataDxfId="35"/>
    <tableColumn id="5" xr3:uid="{00000000-0010-0000-0500-000005000000}" name="Interactions Size" dataDxfId="34"/>
    <tableColumn id="6" xr3:uid="{00000000-0010-0000-0500-000006000000}" name="Enrollments Size" dataDxfId="33"/>
    <tableColumn id="7" xr3:uid="{00000000-0010-0000-0500-000007000000}" name="Call Attempts Size" dataDxfId="32"/>
    <tableColumn id="8" xr3:uid="{00000000-0010-0000-0500-000008000000}" name="Archived Call Attempts Size" dataDxfId="31"/>
    <tableColumn id="9" xr3:uid="{00000000-0010-0000-0500-000009000000}" name="Patient Issues Size" dataDxfId="30"/>
    <tableColumn id="10" xr3:uid="{00000000-0010-0000-0500-00000A000000}" name="Patient Events Size" dataDxfId="29"/>
    <tableColumn id="11" xr3:uid="{00000000-0010-0000-0500-00000B000000}" name="Unit Visits Size" dataDxfId="28"/>
    <tableColumn id="14" xr3:uid="{00000000-0010-0000-0500-00000E000000}" name="Estimation Total" dataDxfId="27">
      <calculatedColumnFormula>SUM(C2:K2)</calculatedColumnFormula>
    </tableColumn>
    <tableColumn id="15" xr3:uid="{00000000-0010-0000-0500-00000F000000}" name="Est. Total GB" dataDxfId="26">
      <calculatedColumnFormula>CONVERT(Table7[[#This Row],[Estimation Total]],"byte","Gibyte")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6000000}" name="Table8" displayName="Table8" ref="A1:C4" totalsRowShown="0">
  <autoFilter ref="A1:C4" xr:uid="{00000000-0009-0000-0100-000008000000}"/>
  <sortState xmlns:xlrd2="http://schemas.microsoft.com/office/spreadsheetml/2017/richdata2" ref="A2:C4">
    <sortCondition descending="1" ref="B1:B4"/>
  </sortState>
  <tableColumns count="3">
    <tableColumn id="1" xr3:uid="{00000000-0010-0000-0600-000001000000}" name="Age"/>
    <tableColumn id="2" xr3:uid="{00000000-0010-0000-0600-000002000000}" name="Estimated Size (Bytes)" dataDxfId="25">
      <calculatedColumnFormula>SUM(Table7[Estimation Total])</calculatedColumnFormula>
    </tableColumn>
    <tableColumn id="3" xr3:uid="{00000000-0010-0000-0600-000003000000}" name="Estimated Size (GB)" dataDxfId="24">
      <calculatedColumnFormula>CONVERT(B2,"byte","Gibyte")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7000000}" name="Table4" displayName="Table4" ref="A1:B10" totalsRowShown="0">
  <autoFilter ref="A1:B10" xr:uid="{00000000-0009-0000-0100-000004000000}"/>
  <tableColumns count="2">
    <tableColumn id="1" xr3:uid="{00000000-0010-0000-0700-000001000000}" name="Collection"/>
    <tableColumn id="2" xr3:uid="{00000000-0010-0000-0700-000002000000}" name="Average Object Siz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193"/>
  <sheetViews>
    <sheetView topLeftCell="C1" workbookViewId="0">
      <pane ySplit="1" topLeftCell="A76" activePane="bottomLeft" state="frozen"/>
      <selection pane="bottomLeft" activeCell="A114" sqref="A114:XFD114"/>
    </sheetView>
  </sheetViews>
  <sheetFormatPr baseColWidth="10" defaultRowHeight="16" x14ac:dyDescent="0.2"/>
  <cols>
    <col min="1" max="1" width="25.5" bestFit="1" customWidth="1"/>
    <col min="2" max="2" width="56" bestFit="1" customWidth="1"/>
    <col min="3" max="3" width="54.1640625" bestFit="1" customWidth="1"/>
    <col min="4" max="4" width="15.83203125" bestFit="1" customWidth="1"/>
    <col min="5" max="5" width="54.1640625" bestFit="1" customWidth="1"/>
    <col min="6" max="6" width="16.33203125" bestFit="1" customWidth="1"/>
    <col min="7" max="7" width="52.83203125" bestFit="1" customWidth="1"/>
    <col min="8" max="8" width="14.6640625" bestFit="1" customWidth="1"/>
    <col min="9" max="9" width="17" bestFit="1" customWidth="1"/>
    <col min="10" max="10" width="17.6640625" bestFit="1" customWidth="1"/>
    <col min="11" max="11" width="17.83203125" bestFit="1" customWidth="1"/>
    <col min="12" max="12" width="20.1640625" bestFit="1" customWidth="1"/>
    <col min="13" max="13" width="28" bestFit="1" customWidth="1"/>
    <col min="14" max="14" width="15" bestFit="1" customWidth="1"/>
    <col min="15" max="15" width="15.5" bestFit="1" customWidth="1"/>
    <col min="16" max="16" width="12.1640625" bestFit="1" customWidth="1"/>
  </cols>
  <sheetData>
    <row r="1" spans="1:16" x14ac:dyDescent="0.2">
      <c r="A1" t="s">
        <v>0</v>
      </c>
      <c r="B1" t="s">
        <v>1</v>
      </c>
      <c r="C1" t="s">
        <v>2</v>
      </c>
      <c r="D1" s="2" t="s">
        <v>3</v>
      </c>
      <c r="E1" t="s">
        <v>4</v>
      </c>
      <c r="F1" s="2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</row>
    <row r="2" spans="1:16" x14ac:dyDescent="0.2">
      <c r="A2" t="s">
        <v>655</v>
      </c>
      <c r="B2" t="s">
        <v>656</v>
      </c>
      <c r="C2" t="s">
        <v>657</v>
      </c>
      <c r="D2" s="2">
        <v>1608671308608</v>
      </c>
      <c r="E2" t="s">
        <v>658</v>
      </c>
      <c r="F2" s="2">
        <v>1618449977684</v>
      </c>
      <c r="G2" t="s">
        <v>659</v>
      </c>
      <c r="H2" s="3">
        <v>70</v>
      </c>
      <c r="I2" s="3">
        <v>89</v>
      </c>
      <c r="J2" s="3">
        <v>0</v>
      </c>
      <c r="K2" s="3">
        <v>0</v>
      </c>
      <c r="L2" s="3">
        <v>0</v>
      </c>
      <c r="M2" s="3">
        <v>0</v>
      </c>
      <c r="N2" s="3">
        <v>0</v>
      </c>
      <c r="O2" s="3">
        <v>0</v>
      </c>
      <c r="P2" s="3">
        <v>89</v>
      </c>
    </row>
    <row r="3" spans="1:16" x14ac:dyDescent="0.2">
      <c r="A3" t="s">
        <v>696</v>
      </c>
      <c r="B3" t="s">
        <v>697</v>
      </c>
      <c r="C3" t="s">
        <v>698</v>
      </c>
      <c r="D3" s="2">
        <v>1613659767111</v>
      </c>
      <c r="E3" t="s">
        <v>699</v>
      </c>
      <c r="F3" s="2">
        <v>1619035398509</v>
      </c>
      <c r="G3" t="s">
        <v>659</v>
      </c>
      <c r="H3" s="3">
        <v>45120</v>
      </c>
      <c r="I3" s="3">
        <v>4164</v>
      </c>
      <c r="J3" s="3">
        <v>0</v>
      </c>
      <c r="K3" s="3">
        <v>0</v>
      </c>
      <c r="L3" s="3">
        <v>0</v>
      </c>
      <c r="M3" s="3">
        <v>0</v>
      </c>
      <c r="N3" s="3">
        <v>0</v>
      </c>
      <c r="O3" s="3">
        <v>0</v>
      </c>
      <c r="P3" s="3">
        <v>4164</v>
      </c>
    </row>
    <row r="4" spans="1:16" x14ac:dyDescent="0.2">
      <c r="A4" t="s">
        <v>591</v>
      </c>
      <c r="B4" t="s">
        <v>592</v>
      </c>
      <c r="C4" t="s">
        <v>593</v>
      </c>
      <c r="D4" s="2">
        <v>1535470999126</v>
      </c>
      <c r="E4" t="s">
        <v>594</v>
      </c>
      <c r="F4" s="2">
        <v>1618495844462</v>
      </c>
      <c r="G4" t="s">
        <v>35</v>
      </c>
      <c r="H4" s="3">
        <v>1595554</v>
      </c>
      <c r="I4" s="3">
        <v>5684431</v>
      </c>
      <c r="J4" s="3">
        <v>770042</v>
      </c>
      <c r="K4" s="3">
        <v>0</v>
      </c>
      <c r="L4" s="3">
        <v>0</v>
      </c>
      <c r="M4" s="3">
        <v>0</v>
      </c>
      <c r="N4" s="3">
        <v>2316</v>
      </c>
      <c r="O4" s="3">
        <v>0</v>
      </c>
      <c r="P4" s="3">
        <v>4406095</v>
      </c>
    </row>
    <row r="5" spans="1:16" x14ac:dyDescent="0.2">
      <c r="A5" t="s">
        <v>31</v>
      </c>
      <c r="B5" t="s">
        <v>32</v>
      </c>
      <c r="C5" t="s">
        <v>33</v>
      </c>
      <c r="D5" s="2">
        <v>1458570098093</v>
      </c>
      <c r="E5" t="s">
        <v>34</v>
      </c>
      <c r="F5" s="2">
        <v>1616179329621</v>
      </c>
      <c r="G5" t="s">
        <v>35</v>
      </c>
      <c r="H5" s="3">
        <v>224501</v>
      </c>
      <c r="I5" s="3">
        <v>608206</v>
      </c>
      <c r="J5" s="3">
        <v>19429</v>
      </c>
      <c r="K5" s="3">
        <v>0</v>
      </c>
      <c r="L5" s="3">
        <v>0</v>
      </c>
      <c r="M5" s="3">
        <v>0</v>
      </c>
      <c r="N5" s="3">
        <v>625</v>
      </c>
      <c r="O5" s="3">
        <v>958</v>
      </c>
      <c r="P5" s="3">
        <v>704833</v>
      </c>
    </row>
    <row r="6" spans="1:16" x14ac:dyDescent="0.2">
      <c r="A6" t="s">
        <v>430</v>
      </c>
      <c r="B6" t="s">
        <v>431</v>
      </c>
      <c r="C6" t="s">
        <v>432</v>
      </c>
      <c r="D6" s="2">
        <v>1513714599858</v>
      </c>
      <c r="E6" t="s">
        <v>433</v>
      </c>
      <c r="F6" s="2">
        <v>1619298424094</v>
      </c>
      <c r="G6" t="s">
        <v>434</v>
      </c>
      <c r="H6" s="3">
        <v>25436</v>
      </c>
      <c r="I6" s="3">
        <v>45510</v>
      </c>
      <c r="J6" s="3">
        <v>91063</v>
      </c>
      <c r="K6" s="3">
        <v>0</v>
      </c>
      <c r="L6" s="3">
        <v>258</v>
      </c>
      <c r="M6" s="3">
        <v>183183</v>
      </c>
      <c r="N6" s="3">
        <v>33156</v>
      </c>
      <c r="O6" s="3">
        <v>0</v>
      </c>
      <c r="P6" s="3">
        <v>48824</v>
      </c>
    </row>
    <row r="7" spans="1:16" x14ac:dyDescent="0.2">
      <c r="A7" t="s">
        <v>349</v>
      </c>
      <c r="B7" t="s">
        <v>350</v>
      </c>
      <c r="C7" t="s">
        <v>351</v>
      </c>
      <c r="D7" s="2">
        <v>1433357951112</v>
      </c>
      <c r="E7" t="s">
        <v>352</v>
      </c>
      <c r="F7" s="2">
        <v>1611716480839</v>
      </c>
      <c r="G7" t="s">
        <v>30</v>
      </c>
      <c r="H7" s="3">
        <v>115513</v>
      </c>
      <c r="I7" s="3">
        <v>222566</v>
      </c>
      <c r="J7" s="3">
        <v>35387</v>
      </c>
      <c r="K7" s="3">
        <v>0</v>
      </c>
      <c r="L7" s="3">
        <v>317</v>
      </c>
      <c r="M7" s="3">
        <v>82660</v>
      </c>
      <c r="N7" s="3">
        <v>5204</v>
      </c>
      <c r="O7" s="3">
        <v>2980</v>
      </c>
      <c r="P7" s="3">
        <v>262940</v>
      </c>
    </row>
    <row r="8" spans="1:16" x14ac:dyDescent="0.2">
      <c r="A8" t="s">
        <v>700</v>
      </c>
      <c r="B8" t="s">
        <v>701</v>
      </c>
      <c r="C8" t="s">
        <v>702</v>
      </c>
      <c r="D8" s="2">
        <v>1563896899588</v>
      </c>
      <c r="E8" t="s">
        <v>703</v>
      </c>
      <c r="F8" s="2">
        <v>1608044700525</v>
      </c>
      <c r="G8" t="s">
        <v>704</v>
      </c>
      <c r="H8" s="3">
        <v>0</v>
      </c>
      <c r="I8" s="3">
        <v>0</v>
      </c>
      <c r="J8" s="3">
        <v>0</v>
      </c>
      <c r="K8" s="3">
        <v>0</v>
      </c>
      <c r="L8" s="3">
        <v>0</v>
      </c>
      <c r="M8" s="3">
        <v>0</v>
      </c>
      <c r="N8" s="3">
        <v>0</v>
      </c>
      <c r="O8" s="3">
        <v>0</v>
      </c>
      <c r="P8" s="3">
        <v>0</v>
      </c>
    </row>
    <row r="9" spans="1:16" x14ac:dyDescent="0.2">
      <c r="A9" t="s">
        <v>778</v>
      </c>
      <c r="B9" t="s">
        <v>779</v>
      </c>
      <c r="C9" t="s">
        <v>780</v>
      </c>
      <c r="D9" s="2">
        <v>1593609083945</v>
      </c>
      <c r="E9" t="s">
        <v>781</v>
      </c>
      <c r="F9" s="2">
        <v>1614278312440</v>
      </c>
      <c r="H9" s="3">
        <v>24850</v>
      </c>
      <c r="I9" s="3">
        <v>25418</v>
      </c>
      <c r="J9" s="3">
        <v>65974</v>
      </c>
      <c r="K9" s="3">
        <v>0</v>
      </c>
      <c r="L9" s="3">
        <v>2542</v>
      </c>
      <c r="M9" s="3">
        <v>133656</v>
      </c>
      <c r="N9" s="3">
        <v>1621</v>
      </c>
      <c r="O9" s="3">
        <v>23618</v>
      </c>
      <c r="P9" s="3">
        <v>25417</v>
      </c>
    </row>
    <row r="10" spans="1:16" x14ac:dyDescent="0.2">
      <c r="A10" t="s">
        <v>750</v>
      </c>
      <c r="B10" t="s">
        <v>751</v>
      </c>
      <c r="C10" t="s">
        <v>752</v>
      </c>
      <c r="D10" s="2">
        <v>1536593805225</v>
      </c>
      <c r="E10" t="s">
        <v>753</v>
      </c>
      <c r="F10" s="2">
        <v>1619551946738</v>
      </c>
      <c r="G10" t="s">
        <v>519</v>
      </c>
      <c r="H10" s="3">
        <v>219688</v>
      </c>
      <c r="I10" s="3">
        <v>3059308</v>
      </c>
      <c r="J10" s="3">
        <v>62783</v>
      </c>
      <c r="K10" s="3">
        <v>0</v>
      </c>
      <c r="L10" s="3">
        <v>5535</v>
      </c>
      <c r="M10" s="3">
        <v>156655</v>
      </c>
      <c r="N10" s="3">
        <v>25307</v>
      </c>
      <c r="O10" s="3">
        <v>11572</v>
      </c>
      <c r="P10" s="3">
        <v>3161183</v>
      </c>
    </row>
    <row r="11" spans="1:16" x14ac:dyDescent="0.2">
      <c r="A11" t="s">
        <v>786</v>
      </c>
      <c r="B11" t="s">
        <v>787</v>
      </c>
      <c r="C11" t="s">
        <v>788</v>
      </c>
      <c r="D11" s="2">
        <v>1536854209971</v>
      </c>
      <c r="E11" t="s">
        <v>789</v>
      </c>
      <c r="F11" s="2">
        <v>1617636254486</v>
      </c>
      <c r="G11" t="s">
        <v>25</v>
      </c>
      <c r="H11" s="3">
        <v>358</v>
      </c>
      <c r="I11" s="3">
        <v>4622</v>
      </c>
      <c r="J11" s="3">
        <v>8520</v>
      </c>
      <c r="K11" s="3">
        <v>0</v>
      </c>
      <c r="L11" s="3">
        <v>726</v>
      </c>
      <c r="M11" s="3">
        <v>22953</v>
      </c>
      <c r="N11" s="3">
        <v>1040</v>
      </c>
      <c r="O11" s="3">
        <v>1351</v>
      </c>
      <c r="P11" s="3">
        <v>4664</v>
      </c>
    </row>
    <row r="12" spans="1:16" x14ac:dyDescent="0.2">
      <c r="A12" t="s">
        <v>150</v>
      </c>
      <c r="B12" t="s">
        <v>151</v>
      </c>
      <c r="C12" t="s">
        <v>152</v>
      </c>
      <c r="D12" s="2">
        <v>1481738584879</v>
      </c>
      <c r="E12" t="s">
        <v>153</v>
      </c>
      <c r="F12" s="2">
        <v>1619538792196</v>
      </c>
      <c r="G12" t="s">
        <v>154</v>
      </c>
      <c r="H12" s="3">
        <v>325871</v>
      </c>
      <c r="I12" s="3">
        <v>2356542</v>
      </c>
      <c r="J12" s="3">
        <v>19429</v>
      </c>
      <c r="K12" s="3">
        <v>3</v>
      </c>
      <c r="L12" s="3">
        <v>2132</v>
      </c>
      <c r="M12" s="3">
        <v>42243</v>
      </c>
      <c r="N12" s="3">
        <v>9677</v>
      </c>
      <c r="O12" s="3">
        <v>3945</v>
      </c>
      <c r="P12" s="3">
        <v>3895878</v>
      </c>
    </row>
    <row r="13" spans="1:16" x14ac:dyDescent="0.2">
      <c r="A13" t="s">
        <v>825</v>
      </c>
      <c r="B13" t="s">
        <v>826</v>
      </c>
      <c r="C13" t="s">
        <v>827</v>
      </c>
      <c r="D13" s="2">
        <v>1549644142254</v>
      </c>
      <c r="E13" t="s">
        <v>828</v>
      </c>
      <c r="F13" s="2">
        <v>1619554214376</v>
      </c>
      <c r="G13" t="s">
        <v>829</v>
      </c>
      <c r="H13" s="3">
        <v>84556</v>
      </c>
      <c r="I13" s="3">
        <v>109280</v>
      </c>
      <c r="J13" s="3">
        <v>334884</v>
      </c>
      <c r="K13" s="3">
        <v>0</v>
      </c>
      <c r="L13" s="3">
        <v>24119</v>
      </c>
      <c r="M13" s="3">
        <v>782990</v>
      </c>
      <c r="N13" s="3">
        <v>42016</v>
      </c>
      <c r="O13" s="3">
        <v>20290</v>
      </c>
      <c r="P13" s="3">
        <v>114557</v>
      </c>
    </row>
    <row r="14" spans="1:16" x14ac:dyDescent="0.2">
      <c r="A14" t="s">
        <v>634</v>
      </c>
      <c r="B14" t="s">
        <v>635</v>
      </c>
      <c r="C14" t="s">
        <v>636</v>
      </c>
      <c r="D14" s="2">
        <v>1559751610727</v>
      </c>
      <c r="E14" t="s">
        <v>637</v>
      </c>
      <c r="F14" s="2">
        <v>1619725617981</v>
      </c>
      <c r="G14" t="s">
        <v>94</v>
      </c>
      <c r="H14" s="3">
        <v>1313323</v>
      </c>
      <c r="I14" s="3">
        <v>3756517</v>
      </c>
      <c r="J14" s="3">
        <v>50365</v>
      </c>
      <c r="K14" s="3">
        <v>0</v>
      </c>
      <c r="L14" s="3">
        <v>0</v>
      </c>
      <c r="M14" s="3">
        <v>0</v>
      </c>
      <c r="N14" s="3">
        <v>2300</v>
      </c>
      <c r="O14" s="3">
        <v>0</v>
      </c>
      <c r="P14" s="3">
        <v>7580960</v>
      </c>
    </row>
    <row r="15" spans="1:16" x14ac:dyDescent="0.2">
      <c r="A15" t="s">
        <v>218</v>
      </c>
      <c r="B15" t="s">
        <v>219</v>
      </c>
      <c r="C15" t="s">
        <v>220</v>
      </c>
      <c r="D15" s="2">
        <v>1427383329190</v>
      </c>
      <c r="E15" t="s">
        <v>221</v>
      </c>
      <c r="F15" s="2">
        <v>1608215503396</v>
      </c>
      <c r="G15" t="s">
        <v>68</v>
      </c>
      <c r="H15" s="3">
        <v>131136</v>
      </c>
      <c r="I15" s="3">
        <v>210934</v>
      </c>
      <c r="J15" s="3">
        <v>70349</v>
      </c>
      <c r="K15" s="3">
        <v>0</v>
      </c>
      <c r="L15" s="3">
        <v>88</v>
      </c>
      <c r="M15" s="3">
        <v>209729</v>
      </c>
      <c r="N15" s="3">
        <v>9283</v>
      </c>
      <c r="O15" s="3">
        <v>3531</v>
      </c>
      <c r="P15" s="3">
        <v>210935</v>
      </c>
    </row>
    <row r="16" spans="1:16" x14ac:dyDescent="0.2">
      <c r="A16" t="s">
        <v>774</v>
      </c>
      <c r="B16" t="s">
        <v>775</v>
      </c>
      <c r="C16" t="s">
        <v>776</v>
      </c>
      <c r="D16" s="2">
        <v>1582053070433</v>
      </c>
      <c r="E16" t="s">
        <v>777</v>
      </c>
      <c r="F16" s="2">
        <v>1611716512236</v>
      </c>
      <c r="G16" t="s">
        <v>149</v>
      </c>
      <c r="H16" s="3">
        <v>105204</v>
      </c>
      <c r="I16" s="3">
        <v>204060</v>
      </c>
      <c r="J16" s="3">
        <v>22406</v>
      </c>
      <c r="K16" s="3">
        <v>0</v>
      </c>
      <c r="L16" s="3">
        <v>0</v>
      </c>
      <c r="M16" s="3">
        <v>0</v>
      </c>
      <c r="N16" s="3">
        <v>214</v>
      </c>
      <c r="O16" s="3">
        <v>0</v>
      </c>
      <c r="P16" s="3">
        <v>303181</v>
      </c>
    </row>
    <row r="17" spans="1:16" x14ac:dyDescent="0.2">
      <c r="A17" s="1" t="s">
        <v>64</v>
      </c>
      <c r="B17" t="s">
        <v>65</v>
      </c>
      <c r="C17" t="s">
        <v>66</v>
      </c>
      <c r="D17" s="2">
        <v>1429626450721</v>
      </c>
      <c r="E17" t="s">
        <v>67</v>
      </c>
      <c r="F17" s="2">
        <v>1617143535990</v>
      </c>
      <c r="G17" t="s">
        <v>68</v>
      </c>
      <c r="H17" s="3">
        <v>950206</v>
      </c>
      <c r="I17" s="3">
        <v>1989170</v>
      </c>
      <c r="J17" s="3">
        <v>742180</v>
      </c>
      <c r="K17" s="3">
        <v>1</v>
      </c>
      <c r="L17" s="3">
        <v>20078</v>
      </c>
      <c r="M17" s="3">
        <v>2370451</v>
      </c>
      <c r="N17" s="3">
        <v>79803</v>
      </c>
      <c r="O17" s="3">
        <v>97975</v>
      </c>
      <c r="P17" s="3">
        <v>2075181</v>
      </c>
    </row>
    <row r="18" spans="1:16" x14ac:dyDescent="0.2">
      <c r="A18" t="s">
        <v>123</v>
      </c>
      <c r="B18" t="s">
        <v>124</v>
      </c>
      <c r="C18" t="s">
        <v>125</v>
      </c>
      <c r="D18" s="2">
        <v>1391469401984</v>
      </c>
      <c r="E18" t="s">
        <v>126</v>
      </c>
      <c r="F18" s="2">
        <v>1613752567130</v>
      </c>
      <c r="G18" t="s">
        <v>25</v>
      </c>
      <c r="H18" s="3">
        <v>304846</v>
      </c>
      <c r="I18" s="3">
        <v>518208</v>
      </c>
      <c r="J18" s="3">
        <v>67805</v>
      </c>
      <c r="K18" s="3">
        <v>0</v>
      </c>
      <c r="L18" s="3">
        <v>302</v>
      </c>
      <c r="M18" s="3">
        <v>192086</v>
      </c>
      <c r="N18" s="3">
        <v>13097</v>
      </c>
      <c r="O18" s="3">
        <v>5870</v>
      </c>
      <c r="P18" s="3">
        <v>579925</v>
      </c>
    </row>
    <row r="19" spans="1:16" x14ac:dyDescent="0.2">
      <c r="A19" t="s">
        <v>173</v>
      </c>
      <c r="B19" t="s">
        <v>174</v>
      </c>
      <c r="C19" t="s">
        <v>175</v>
      </c>
      <c r="D19" s="2">
        <v>1531748551629</v>
      </c>
      <c r="E19" t="s">
        <v>176</v>
      </c>
      <c r="F19" s="2">
        <v>1619113100450</v>
      </c>
      <c r="G19" t="s">
        <v>25</v>
      </c>
      <c r="H19" s="3">
        <v>67922</v>
      </c>
      <c r="I19" s="3">
        <v>118994</v>
      </c>
      <c r="J19" s="3">
        <v>102156</v>
      </c>
      <c r="K19" s="3">
        <v>131914</v>
      </c>
      <c r="L19" s="3">
        <v>7005</v>
      </c>
      <c r="M19" s="3">
        <v>246531</v>
      </c>
      <c r="N19" s="3">
        <v>8742</v>
      </c>
      <c r="O19" s="3">
        <v>49164</v>
      </c>
      <c r="P19" s="3">
        <v>119012</v>
      </c>
    </row>
    <row r="20" spans="1:16" x14ac:dyDescent="0.2">
      <c r="A20" t="s">
        <v>127</v>
      </c>
      <c r="B20" t="s">
        <v>128</v>
      </c>
      <c r="C20" t="s">
        <v>129</v>
      </c>
      <c r="D20" s="2">
        <v>1383174642139</v>
      </c>
      <c r="E20" t="s">
        <v>130</v>
      </c>
      <c r="F20" s="2">
        <v>1608043957760</v>
      </c>
      <c r="G20" t="s">
        <v>25</v>
      </c>
      <c r="H20" s="3">
        <v>57919</v>
      </c>
      <c r="I20" s="3">
        <v>81165</v>
      </c>
      <c r="J20" s="3">
        <v>72592</v>
      </c>
      <c r="K20" s="3">
        <v>0</v>
      </c>
      <c r="L20" s="3">
        <v>46</v>
      </c>
      <c r="M20" s="3">
        <v>190639</v>
      </c>
      <c r="N20" s="3">
        <v>10111</v>
      </c>
      <c r="O20" s="3">
        <v>2554</v>
      </c>
      <c r="P20" s="3">
        <v>81215</v>
      </c>
    </row>
    <row r="21" spans="1:16" x14ac:dyDescent="0.2">
      <c r="A21" t="s">
        <v>478</v>
      </c>
      <c r="B21" t="s">
        <v>479</v>
      </c>
      <c r="C21" t="s">
        <v>480</v>
      </c>
      <c r="D21" s="2">
        <v>1366728002178</v>
      </c>
      <c r="E21" t="s">
        <v>481</v>
      </c>
      <c r="F21" s="2">
        <v>1608044283847</v>
      </c>
      <c r="G21" t="s">
        <v>59</v>
      </c>
      <c r="H21" s="3">
        <v>107059</v>
      </c>
      <c r="I21" s="3">
        <v>178070</v>
      </c>
      <c r="J21" s="3">
        <v>65051</v>
      </c>
      <c r="K21" s="3">
        <v>0</v>
      </c>
      <c r="L21" s="3">
        <v>0</v>
      </c>
      <c r="M21" s="3">
        <v>83898</v>
      </c>
      <c r="N21" s="3">
        <v>7609</v>
      </c>
      <c r="O21" s="3">
        <v>0</v>
      </c>
      <c r="P21" s="3">
        <v>239200</v>
      </c>
    </row>
    <row r="22" spans="1:16" x14ac:dyDescent="0.2">
      <c r="A22" t="s">
        <v>629</v>
      </c>
      <c r="B22" t="s">
        <v>630</v>
      </c>
      <c r="C22" t="s">
        <v>631</v>
      </c>
      <c r="D22" s="2">
        <v>1606849508224</v>
      </c>
      <c r="E22" t="s">
        <v>632</v>
      </c>
      <c r="F22" s="2">
        <v>1614960301447</v>
      </c>
      <c r="G22" t="s">
        <v>633</v>
      </c>
      <c r="H22" s="3">
        <v>13676</v>
      </c>
      <c r="I22" s="3">
        <v>39222</v>
      </c>
      <c r="J22" s="3">
        <v>5744</v>
      </c>
      <c r="K22" s="3">
        <v>0</v>
      </c>
      <c r="L22" s="3">
        <v>965</v>
      </c>
      <c r="M22" s="3">
        <v>9771</v>
      </c>
      <c r="N22" s="3">
        <v>882</v>
      </c>
      <c r="O22" s="3">
        <v>6001</v>
      </c>
      <c r="P22" s="3">
        <v>59319</v>
      </c>
    </row>
    <row r="23" spans="1:16" x14ac:dyDescent="0.2">
      <c r="A23" t="s">
        <v>190</v>
      </c>
      <c r="B23" t="s">
        <v>191</v>
      </c>
      <c r="C23" t="s">
        <v>192</v>
      </c>
      <c r="D23" s="2">
        <v>1366200747591</v>
      </c>
      <c r="E23" t="s">
        <v>193</v>
      </c>
      <c r="F23" s="2">
        <v>1611716560669</v>
      </c>
      <c r="G23" t="s">
        <v>20</v>
      </c>
      <c r="H23" s="3">
        <v>543238</v>
      </c>
      <c r="I23" s="3">
        <v>5479481</v>
      </c>
      <c r="J23" s="3">
        <v>1357583</v>
      </c>
      <c r="K23" s="3">
        <v>0</v>
      </c>
      <c r="L23" s="3">
        <v>34125</v>
      </c>
      <c r="M23" s="3">
        <v>4490781</v>
      </c>
      <c r="N23" s="3">
        <v>69408</v>
      </c>
      <c r="O23" s="3">
        <v>140144</v>
      </c>
      <c r="P23" s="3">
        <v>5746806</v>
      </c>
    </row>
    <row r="24" spans="1:16" x14ac:dyDescent="0.2">
      <c r="A24" t="s">
        <v>520</v>
      </c>
      <c r="B24" t="s">
        <v>521</v>
      </c>
      <c r="C24" t="s">
        <v>522</v>
      </c>
      <c r="D24" s="2">
        <v>1495118625907</v>
      </c>
      <c r="E24" t="s">
        <v>523</v>
      </c>
      <c r="F24" s="2">
        <v>1611716482189</v>
      </c>
      <c r="G24" t="s">
        <v>20</v>
      </c>
      <c r="H24" s="3">
        <v>219682</v>
      </c>
      <c r="I24" s="3">
        <v>1338717</v>
      </c>
      <c r="J24" s="3">
        <v>44589</v>
      </c>
      <c r="K24" s="3">
        <v>0</v>
      </c>
      <c r="L24" s="3">
        <v>2452</v>
      </c>
      <c r="M24" s="3">
        <v>89932</v>
      </c>
      <c r="N24" s="3">
        <v>3975</v>
      </c>
      <c r="O24" s="3">
        <v>15687</v>
      </c>
      <c r="P24" s="3">
        <v>1447973</v>
      </c>
    </row>
    <row r="25" spans="1:16" x14ac:dyDescent="0.2">
      <c r="A25" t="s">
        <v>684</v>
      </c>
      <c r="B25" t="s">
        <v>685</v>
      </c>
      <c r="C25" t="s">
        <v>686</v>
      </c>
      <c r="D25" s="2">
        <v>1556549937254</v>
      </c>
      <c r="E25" t="s">
        <v>687</v>
      </c>
      <c r="F25" s="2">
        <v>1602812353633</v>
      </c>
      <c r="G25" t="s">
        <v>89</v>
      </c>
      <c r="H25" s="3">
        <v>752</v>
      </c>
      <c r="I25" s="3">
        <v>817</v>
      </c>
      <c r="J25" s="3">
        <v>1779</v>
      </c>
      <c r="K25" s="3">
        <v>0</v>
      </c>
      <c r="L25" s="3">
        <v>0</v>
      </c>
      <c r="M25" s="3">
        <v>3793</v>
      </c>
      <c r="N25" s="3">
        <v>222</v>
      </c>
      <c r="O25" s="3">
        <v>180</v>
      </c>
      <c r="P25" s="3">
        <v>815</v>
      </c>
    </row>
    <row r="26" spans="1:16" x14ac:dyDescent="0.2">
      <c r="A26" t="s">
        <v>735</v>
      </c>
      <c r="B26" t="s">
        <v>736</v>
      </c>
      <c r="C26" t="s">
        <v>737</v>
      </c>
      <c r="D26" s="2">
        <v>1573765781672</v>
      </c>
      <c r="E26" t="s">
        <v>738</v>
      </c>
      <c r="F26" s="2">
        <v>1616021276002</v>
      </c>
      <c r="G26" t="s">
        <v>519</v>
      </c>
      <c r="H26" s="3">
        <v>181613</v>
      </c>
      <c r="I26" s="3">
        <v>648368</v>
      </c>
      <c r="J26" s="3">
        <v>29021</v>
      </c>
      <c r="K26" s="3">
        <v>0</v>
      </c>
      <c r="L26" s="3">
        <v>3025</v>
      </c>
      <c r="M26" s="3">
        <v>68843</v>
      </c>
      <c r="N26" s="3">
        <v>3562</v>
      </c>
      <c r="O26" s="3">
        <v>26759</v>
      </c>
      <c r="P26" s="3">
        <v>740730</v>
      </c>
    </row>
    <row r="27" spans="1:16" x14ac:dyDescent="0.2">
      <c r="A27" t="s">
        <v>340</v>
      </c>
      <c r="B27" t="s">
        <v>341</v>
      </c>
      <c r="C27" t="s">
        <v>342</v>
      </c>
      <c r="D27" s="2">
        <v>1525108575171</v>
      </c>
      <c r="E27" t="s">
        <v>343</v>
      </c>
      <c r="F27" s="2">
        <v>1611716461275</v>
      </c>
      <c r="G27" t="s">
        <v>344</v>
      </c>
      <c r="H27" s="3">
        <v>199089</v>
      </c>
      <c r="I27" s="3">
        <v>2087911</v>
      </c>
      <c r="J27" s="3">
        <v>1825612</v>
      </c>
      <c r="K27" s="3">
        <v>20292</v>
      </c>
      <c r="L27" s="3">
        <v>123137</v>
      </c>
      <c r="M27" s="3">
        <v>3018209</v>
      </c>
      <c r="N27" s="3">
        <v>4643</v>
      </c>
      <c r="O27" s="3">
        <v>625895</v>
      </c>
      <c r="P27" s="3">
        <v>1043235</v>
      </c>
    </row>
    <row r="28" spans="1:16" x14ac:dyDescent="0.2">
      <c r="A28" t="s">
        <v>397</v>
      </c>
      <c r="B28" t="s">
        <v>398</v>
      </c>
      <c r="C28" t="s">
        <v>399</v>
      </c>
      <c r="D28" s="2">
        <v>1366664715172</v>
      </c>
      <c r="E28" t="s">
        <v>400</v>
      </c>
      <c r="F28" s="2">
        <v>1608205865080</v>
      </c>
      <c r="G28" t="s">
        <v>68</v>
      </c>
      <c r="H28" s="3">
        <v>51173</v>
      </c>
      <c r="I28" s="3">
        <v>79835</v>
      </c>
      <c r="J28" s="3">
        <v>52975</v>
      </c>
      <c r="K28" s="3">
        <v>0</v>
      </c>
      <c r="L28" s="3">
        <v>362</v>
      </c>
      <c r="M28" s="3">
        <v>114993</v>
      </c>
      <c r="N28" s="3">
        <v>7344</v>
      </c>
      <c r="O28" s="3">
        <v>5882</v>
      </c>
      <c r="P28" s="3">
        <v>80741</v>
      </c>
    </row>
    <row r="29" spans="1:16" x14ac:dyDescent="0.2">
      <c r="A29" t="s">
        <v>790</v>
      </c>
      <c r="B29" t="s">
        <v>791</v>
      </c>
      <c r="C29" t="s">
        <v>792</v>
      </c>
      <c r="D29" s="2">
        <v>1537554631987</v>
      </c>
      <c r="E29" t="s">
        <v>793</v>
      </c>
      <c r="F29" s="2">
        <v>1608044634569</v>
      </c>
      <c r="H29" s="3">
        <v>5</v>
      </c>
      <c r="I29" s="3">
        <v>5</v>
      </c>
      <c r="J29" s="3">
        <v>5</v>
      </c>
      <c r="K29" s="3">
        <v>0</v>
      </c>
      <c r="L29" s="3">
        <v>0</v>
      </c>
      <c r="M29" s="3">
        <v>5</v>
      </c>
      <c r="N29" s="3">
        <v>0</v>
      </c>
      <c r="O29" s="3">
        <v>0</v>
      </c>
      <c r="P29" s="3">
        <v>5</v>
      </c>
    </row>
    <row r="30" spans="1:16" x14ac:dyDescent="0.2">
      <c r="A30" t="s">
        <v>41</v>
      </c>
      <c r="B30" t="s">
        <v>42</v>
      </c>
      <c r="C30" t="s">
        <v>43</v>
      </c>
      <c r="D30" s="2">
        <v>1501589603145</v>
      </c>
      <c r="E30" t="s">
        <v>44</v>
      </c>
      <c r="F30" s="2">
        <v>1619186921382</v>
      </c>
      <c r="G30" t="s">
        <v>35</v>
      </c>
      <c r="H30" s="3">
        <v>345520</v>
      </c>
      <c r="I30" s="3">
        <v>878727</v>
      </c>
      <c r="J30" s="3">
        <v>255645</v>
      </c>
      <c r="K30" s="3">
        <v>1</v>
      </c>
      <c r="L30" s="3">
        <v>0</v>
      </c>
      <c r="M30" s="3">
        <v>0</v>
      </c>
      <c r="N30" s="3">
        <v>2202</v>
      </c>
      <c r="O30" s="3">
        <v>7493</v>
      </c>
      <c r="P30" s="3">
        <v>1612957</v>
      </c>
    </row>
    <row r="31" spans="1:16" x14ac:dyDescent="0.2">
      <c r="A31" t="s">
        <v>55</v>
      </c>
      <c r="B31" t="s">
        <v>56</v>
      </c>
      <c r="C31" t="s">
        <v>57</v>
      </c>
      <c r="D31" s="2">
        <v>1448385975212</v>
      </c>
      <c r="E31" t="s">
        <v>58</v>
      </c>
      <c r="F31" s="2">
        <v>1611716479621</v>
      </c>
      <c r="G31" t="s">
        <v>59</v>
      </c>
      <c r="H31" s="3">
        <v>320539</v>
      </c>
      <c r="I31" s="3">
        <v>1950851</v>
      </c>
      <c r="J31" s="3">
        <v>196840</v>
      </c>
      <c r="K31" s="3">
        <v>0</v>
      </c>
      <c r="L31" s="3">
        <v>0</v>
      </c>
      <c r="M31" s="3">
        <v>0</v>
      </c>
      <c r="N31" s="3">
        <v>948</v>
      </c>
      <c r="O31" s="3">
        <v>5661</v>
      </c>
      <c r="P31" s="3">
        <v>2312388</v>
      </c>
    </row>
    <row r="32" spans="1:16" x14ac:dyDescent="0.2">
      <c r="A32" t="s">
        <v>845</v>
      </c>
      <c r="B32" t="s">
        <v>846</v>
      </c>
      <c r="C32" t="s">
        <v>847</v>
      </c>
      <c r="D32" s="2">
        <v>1618934733607</v>
      </c>
      <c r="E32" t="s">
        <v>848</v>
      </c>
      <c r="F32" s="2">
        <v>1618934882473</v>
      </c>
      <c r="H32" s="3">
        <v>0</v>
      </c>
      <c r="I32" s="3">
        <v>0</v>
      </c>
      <c r="J32" s="3">
        <v>0</v>
      </c>
      <c r="K32" s="3">
        <v>0</v>
      </c>
      <c r="L32" s="3">
        <v>0</v>
      </c>
      <c r="M32" s="3">
        <v>0</v>
      </c>
      <c r="N32" s="3">
        <v>0</v>
      </c>
      <c r="O32" s="3">
        <v>0</v>
      </c>
      <c r="P32" s="3">
        <v>0</v>
      </c>
    </row>
    <row r="33" spans="1:16" x14ac:dyDescent="0.2">
      <c r="A33" t="s">
        <v>280</v>
      </c>
      <c r="B33" t="s">
        <v>281</v>
      </c>
      <c r="C33" t="s">
        <v>282</v>
      </c>
      <c r="D33" s="2">
        <v>1490821656760</v>
      </c>
      <c r="E33" t="s">
        <v>283</v>
      </c>
      <c r="F33" s="2">
        <v>1617303210035</v>
      </c>
      <c r="G33" t="s">
        <v>284</v>
      </c>
      <c r="H33" s="3">
        <v>164739</v>
      </c>
      <c r="I33" s="3">
        <v>1084647</v>
      </c>
      <c r="J33" s="3">
        <v>138693</v>
      </c>
      <c r="K33" s="3">
        <v>0</v>
      </c>
      <c r="L33" s="3">
        <v>2322</v>
      </c>
      <c r="M33" s="3">
        <v>226150</v>
      </c>
      <c r="N33" s="3">
        <v>14162</v>
      </c>
      <c r="O33" s="3">
        <v>27559</v>
      </c>
      <c r="P33" s="3">
        <v>1569812</v>
      </c>
    </row>
    <row r="34" spans="1:16" x14ac:dyDescent="0.2">
      <c r="A34" t="s">
        <v>194</v>
      </c>
      <c r="B34" t="s">
        <v>195</v>
      </c>
      <c r="C34" t="s">
        <v>196</v>
      </c>
      <c r="D34" s="2">
        <v>1470401350697</v>
      </c>
      <c r="E34" t="s">
        <v>197</v>
      </c>
      <c r="F34" s="2">
        <v>1608303504527</v>
      </c>
      <c r="G34" t="s">
        <v>198</v>
      </c>
      <c r="H34" s="3">
        <v>1923</v>
      </c>
      <c r="I34" s="3">
        <v>2706</v>
      </c>
      <c r="J34" s="3">
        <v>10807</v>
      </c>
      <c r="K34" s="3">
        <v>0</v>
      </c>
      <c r="L34" s="3">
        <v>493</v>
      </c>
      <c r="M34" s="3">
        <v>25494</v>
      </c>
      <c r="N34" s="3">
        <v>1345</v>
      </c>
      <c r="O34" s="3">
        <v>185</v>
      </c>
      <c r="P34" s="3">
        <v>2863</v>
      </c>
    </row>
    <row r="35" spans="1:16" x14ac:dyDescent="0.2">
      <c r="A35" t="s">
        <v>243</v>
      </c>
      <c r="B35" t="s">
        <v>244</v>
      </c>
      <c r="C35" t="s">
        <v>245</v>
      </c>
      <c r="D35" s="2">
        <v>1523558186650</v>
      </c>
      <c r="E35" t="s">
        <v>246</v>
      </c>
      <c r="F35" s="2">
        <v>1619288248579</v>
      </c>
      <c r="G35" t="s">
        <v>247</v>
      </c>
      <c r="H35" s="3">
        <v>87990</v>
      </c>
      <c r="I35" s="3">
        <v>132391</v>
      </c>
      <c r="J35" s="3">
        <v>108571</v>
      </c>
      <c r="K35" s="3">
        <v>0</v>
      </c>
      <c r="L35" s="3">
        <v>5220</v>
      </c>
      <c r="M35" s="3">
        <v>256381</v>
      </c>
      <c r="N35" s="3">
        <v>13442</v>
      </c>
      <c r="O35" s="3">
        <v>54839</v>
      </c>
      <c r="P35" s="3">
        <v>132397</v>
      </c>
    </row>
    <row r="36" spans="1:16" x14ac:dyDescent="0.2">
      <c r="A36" t="s">
        <v>709</v>
      </c>
      <c r="B36" t="s">
        <v>710</v>
      </c>
      <c r="C36" t="s">
        <v>711</v>
      </c>
      <c r="D36" s="2">
        <v>1557150741989</v>
      </c>
      <c r="E36" t="s">
        <v>712</v>
      </c>
      <c r="F36" s="2">
        <v>1617202951895</v>
      </c>
      <c r="G36" t="s">
        <v>713</v>
      </c>
      <c r="H36" s="3">
        <v>82227</v>
      </c>
      <c r="I36" s="3">
        <v>369141</v>
      </c>
      <c r="J36" s="3">
        <v>256208</v>
      </c>
      <c r="K36" s="3">
        <v>0</v>
      </c>
      <c r="L36" s="3">
        <v>6097</v>
      </c>
      <c r="M36" s="3">
        <v>378587</v>
      </c>
      <c r="N36" s="3">
        <v>0</v>
      </c>
      <c r="O36" s="3">
        <v>130080</v>
      </c>
      <c r="P36" s="3">
        <v>91635</v>
      </c>
    </row>
    <row r="37" spans="1:16" x14ac:dyDescent="0.2">
      <c r="A37" t="s">
        <v>362</v>
      </c>
      <c r="B37" t="s">
        <v>363</v>
      </c>
      <c r="C37" t="s">
        <v>364</v>
      </c>
      <c r="D37" s="2">
        <v>1366819168539</v>
      </c>
      <c r="E37" t="s">
        <v>365</v>
      </c>
      <c r="F37" s="2">
        <v>1611768279482</v>
      </c>
      <c r="G37" t="s">
        <v>68</v>
      </c>
      <c r="H37" s="3">
        <v>161447</v>
      </c>
      <c r="I37" s="3">
        <v>281574</v>
      </c>
      <c r="J37" s="3">
        <v>342416</v>
      </c>
      <c r="K37" s="3">
        <v>0</v>
      </c>
      <c r="L37" s="3">
        <v>9160</v>
      </c>
      <c r="M37" s="3">
        <v>942447</v>
      </c>
      <c r="N37" s="3">
        <v>75007</v>
      </c>
      <c r="O37" s="3">
        <v>94184</v>
      </c>
      <c r="P37" s="3">
        <v>287132</v>
      </c>
    </row>
    <row r="38" spans="1:16" x14ac:dyDescent="0.2">
      <c r="A38" t="s">
        <v>45</v>
      </c>
      <c r="B38" t="s">
        <v>46</v>
      </c>
      <c r="C38" t="s">
        <v>47</v>
      </c>
      <c r="D38" s="2">
        <v>1506017887662</v>
      </c>
      <c r="E38" t="s">
        <v>48</v>
      </c>
      <c r="F38" s="2">
        <v>1609778421051</v>
      </c>
      <c r="G38" t="s">
        <v>49</v>
      </c>
      <c r="H38" s="3">
        <v>22492</v>
      </c>
      <c r="I38" s="3">
        <v>24836</v>
      </c>
      <c r="J38" s="3">
        <v>22465</v>
      </c>
      <c r="K38" s="3">
        <v>0</v>
      </c>
      <c r="L38" s="3">
        <v>35</v>
      </c>
      <c r="M38" s="3">
        <v>38861</v>
      </c>
      <c r="N38" s="3">
        <v>911</v>
      </c>
      <c r="O38" s="3">
        <v>4753</v>
      </c>
      <c r="P38" s="3">
        <v>24836</v>
      </c>
    </row>
    <row r="39" spans="1:16" x14ac:dyDescent="0.2">
      <c r="A39" t="s">
        <v>208</v>
      </c>
      <c r="B39" t="s">
        <v>209</v>
      </c>
      <c r="C39" t="s">
        <v>210</v>
      </c>
      <c r="D39" s="2">
        <v>1505792483410</v>
      </c>
      <c r="E39" t="s">
        <v>211</v>
      </c>
      <c r="F39" s="2">
        <v>1618496966004</v>
      </c>
      <c r="G39" t="s">
        <v>212</v>
      </c>
      <c r="H39" s="3">
        <v>1001607</v>
      </c>
      <c r="I39" s="3">
        <v>9313363</v>
      </c>
      <c r="J39" s="3">
        <v>664777</v>
      </c>
      <c r="K39" s="3">
        <v>0</v>
      </c>
      <c r="L39" s="3">
        <v>4120</v>
      </c>
      <c r="M39" s="3">
        <v>187619</v>
      </c>
      <c r="N39" s="3">
        <v>21326</v>
      </c>
      <c r="O39" s="3">
        <v>65172</v>
      </c>
      <c r="P39" s="3">
        <v>9835809</v>
      </c>
    </row>
    <row r="40" spans="1:16" x14ac:dyDescent="0.2">
      <c r="A40" t="s">
        <v>604</v>
      </c>
      <c r="B40" t="s">
        <v>605</v>
      </c>
      <c r="C40" t="s">
        <v>606</v>
      </c>
      <c r="D40" s="2">
        <v>1540929323569</v>
      </c>
      <c r="E40" t="s">
        <v>607</v>
      </c>
      <c r="F40" s="2">
        <v>1613621574375</v>
      </c>
      <c r="G40" t="s">
        <v>59</v>
      </c>
      <c r="H40" s="3">
        <v>96268</v>
      </c>
      <c r="I40" s="3">
        <v>705025</v>
      </c>
      <c r="J40" s="3">
        <v>38645</v>
      </c>
      <c r="K40" s="3">
        <v>0</v>
      </c>
      <c r="L40" s="3">
        <v>411</v>
      </c>
      <c r="M40" s="3">
        <v>36198</v>
      </c>
      <c r="N40" s="3">
        <v>2122</v>
      </c>
      <c r="O40" s="3">
        <v>6307</v>
      </c>
      <c r="P40" s="3">
        <v>748884</v>
      </c>
    </row>
    <row r="41" spans="1:16" x14ac:dyDescent="0.2">
      <c r="A41" t="s">
        <v>651</v>
      </c>
      <c r="B41" t="s">
        <v>652</v>
      </c>
      <c r="C41" t="s">
        <v>653</v>
      </c>
      <c r="D41" s="2">
        <v>1588742096501</v>
      </c>
      <c r="E41" t="s">
        <v>654</v>
      </c>
      <c r="F41" s="2">
        <v>1608044750558</v>
      </c>
      <c r="H41" s="3">
        <v>2</v>
      </c>
      <c r="I41" s="3">
        <v>2</v>
      </c>
      <c r="J41" s="3">
        <v>0</v>
      </c>
      <c r="K41" s="3">
        <v>0</v>
      </c>
      <c r="L41" s="3">
        <v>0</v>
      </c>
      <c r="M41" s="3">
        <v>0</v>
      </c>
      <c r="N41" s="3">
        <v>0</v>
      </c>
      <c r="O41" s="3">
        <v>0</v>
      </c>
      <c r="P41" s="3">
        <v>1</v>
      </c>
    </row>
    <row r="42" spans="1:16" x14ac:dyDescent="0.2">
      <c r="A42" t="s">
        <v>253</v>
      </c>
      <c r="B42" t="s">
        <v>254</v>
      </c>
      <c r="C42" t="s">
        <v>255</v>
      </c>
      <c r="D42" s="2">
        <v>1528989405584</v>
      </c>
      <c r="E42" t="s">
        <v>256</v>
      </c>
      <c r="F42" s="2">
        <v>1618549361328</v>
      </c>
      <c r="G42" t="s">
        <v>257</v>
      </c>
      <c r="H42" s="3">
        <v>290389</v>
      </c>
      <c r="I42" s="3">
        <v>650451</v>
      </c>
      <c r="J42" s="3">
        <v>275505</v>
      </c>
      <c r="K42" s="3">
        <v>0</v>
      </c>
      <c r="L42" s="3">
        <v>0</v>
      </c>
      <c r="M42" s="3">
        <v>40</v>
      </c>
      <c r="N42" s="3">
        <v>2091</v>
      </c>
      <c r="O42" s="3">
        <v>7</v>
      </c>
      <c r="P42" s="3">
        <v>952082</v>
      </c>
    </row>
    <row r="43" spans="1:16" x14ac:dyDescent="0.2">
      <c r="A43" t="s">
        <v>159</v>
      </c>
      <c r="B43" t="s">
        <v>160</v>
      </c>
      <c r="C43" t="s">
        <v>161</v>
      </c>
      <c r="D43" s="2">
        <v>1498507143246</v>
      </c>
      <c r="E43" t="s">
        <v>162</v>
      </c>
      <c r="F43" s="2">
        <v>1619814320380</v>
      </c>
      <c r="G43" t="s">
        <v>59</v>
      </c>
      <c r="H43" s="3">
        <v>977642</v>
      </c>
      <c r="I43" s="3">
        <v>9937783</v>
      </c>
      <c r="J43" s="3">
        <v>4544062</v>
      </c>
      <c r="K43" s="3">
        <v>0</v>
      </c>
      <c r="L43" s="3">
        <v>740412</v>
      </c>
      <c r="M43" s="3">
        <v>3802787</v>
      </c>
      <c r="N43" s="3">
        <v>29602</v>
      </c>
      <c r="O43" s="3">
        <v>3212675</v>
      </c>
      <c r="P43" s="3">
        <v>8260753</v>
      </c>
    </row>
    <row r="44" spans="1:16" x14ac:dyDescent="0.2">
      <c r="A44" t="s">
        <v>581</v>
      </c>
      <c r="B44" t="s">
        <v>582</v>
      </c>
      <c r="C44" t="s">
        <v>583</v>
      </c>
      <c r="D44" s="2">
        <v>1545163338502</v>
      </c>
      <c r="E44" t="s">
        <v>584</v>
      </c>
      <c r="F44" s="2">
        <v>1610042683475</v>
      </c>
      <c r="G44" t="s">
        <v>585</v>
      </c>
      <c r="H44" s="3">
        <v>144573</v>
      </c>
      <c r="I44" s="3">
        <v>703252</v>
      </c>
      <c r="J44" s="3">
        <v>31335</v>
      </c>
      <c r="K44" s="3">
        <v>0</v>
      </c>
      <c r="L44" s="3">
        <v>0</v>
      </c>
      <c r="M44" s="3">
        <v>79</v>
      </c>
      <c r="N44" s="3">
        <v>485</v>
      </c>
      <c r="O44" s="3">
        <v>0</v>
      </c>
      <c r="P44" s="3">
        <v>854950</v>
      </c>
    </row>
    <row r="45" spans="1:16" x14ac:dyDescent="0.2">
      <c r="A45" t="s">
        <v>674</v>
      </c>
      <c r="B45" t="s">
        <v>675</v>
      </c>
      <c r="C45" t="s">
        <v>676</v>
      </c>
      <c r="D45" s="2">
        <v>1582127339109</v>
      </c>
      <c r="E45" t="s">
        <v>677</v>
      </c>
      <c r="F45" s="2">
        <v>1616709092073</v>
      </c>
      <c r="G45" t="s">
        <v>678</v>
      </c>
      <c r="H45" s="3">
        <v>92370</v>
      </c>
      <c r="I45" s="3">
        <v>147831</v>
      </c>
      <c r="J45" s="3">
        <v>11549</v>
      </c>
      <c r="K45" s="3">
        <v>0</v>
      </c>
      <c r="L45" s="3">
        <v>0</v>
      </c>
      <c r="M45" s="3">
        <v>0</v>
      </c>
      <c r="N45" s="3">
        <v>884</v>
      </c>
      <c r="O45" s="3">
        <v>0</v>
      </c>
      <c r="P45" s="3">
        <v>210105</v>
      </c>
    </row>
    <row r="46" spans="1:16" x14ac:dyDescent="0.2">
      <c r="A46" t="s">
        <v>421</v>
      </c>
      <c r="B46" t="s">
        <v>422</v>
      </c>
      <c r="C46" t="s">
        <v>423</v>
      </c>
      <c r="D46" s="2">
        <v>1500460244366</v>
      </c>
      <c r="E46" t="s">
        <v>424</v>
      </c>
      <c r="F46" s="2">
        <v>1619622821783</v>
      </c>
      <c r="G46" t="s">
        <v>425</v>
      </c>
      <c r="H46" s="3">
        <v>482441</v>
      </c>
      <c r="I46" s="3">
        <v>1353599</v>
      </c>
      <c r="J46" s="3">
        <v>46235</v>
      </c>
      <c r="K46" s="3">
        <v>366952</v>
      </c>
      <c r="L46" s="3">
        <v>926</v>
      </c>
      <c r="M46" s="3">
        <v>51846</v>
      </c>
      <c r="N46" s="3">
        <v>65510</v>
      </c>
      <c r="O46" s="3">
        <v>195222</v>
      </c>
      <c r="P46" s="3">
        <v>1697696</v>
      </c>
    </row>
    <row r="47" spans="1:16" x14ac:dyDescent="0.2">
      <c r="A47" t="s">
        <v>722</v>
      </c>
      <c r="B47" t="s">
        <v>723</v>
      </c>
      <c r="C47" t="s">
        <v>724</v>
      </c>
      <c r="D47" s="2">
        <v>1574278666033</v>
      </c>
      <c r="E47" t="s">
        <v>725</v>
      </c>
      <c r="F47" s="2">
        <v>1616021041015</v>
      </c>
      <c r="G47" t="s">
        <v>726</v>
      </c>
      <c r="H47" s="3">
        <v>40867</v>
      </c>
      <c r="I47" s="3">
        <v>141046</v>
      </c>
      <c r="J47" s="3">
        <v>489</v>
      </c>
      <c r="K47" s="3">
        <v>0</v>
      </c>
      <c r="L47" s="3">
        <v>0</v>
      </c>
      <c r="M47" s="3">
        <v>0</v>
      </c>
      <c r="N47" s="3">
        <v>27</v>
      </c>
      <c r="O47" s="3">
        <v>0</v>
      </c>
      <c r="P47" s="3">
        <v>152708</v>
      </c>
    </row>
    <row r="48" spans="1:16" x14ac:dyDescent="0.2">
      <c r="A48" t="s">
        <v>82</v>
      </c>
      <c r="B48" t="s">
        <v>83</v>
      </c>
      <c r="C48" t="s">
        <v>84</v>
      </c>
      <c r="D48" s="2">
        <v>1392402817706</v>
      </c>
      <c r="E48" t="s">
        <v>80</v>
      </c>
      <c r="F48" s="2">
        <v>1611716459665</v>
      </c>
      <c r="G48" t="s">
        <v>25</v>
      </c>
      <c r="H48" s="3">
        <v>158481</v>
      </c>
      <c r="I48" s="3">
        <v>882293</v>
      </c>
      <c r="J48" s="3">
        <v>199570</v>
      </c>
      <c r="K48" s="3">
        <v>0</v>
      </c>
      <c r="L48" s="3">
        <v>611</v>
      </c>
      <c r="M48" s="3">
        <v>583880</v>
      </c>
      <c r="N48" s="3">
        <v>18918</v>
      </c>
      <c r="O48" s="3">
        <v>5503</v>
      </c>
      <c r="P48" s="3">
        <v>914532</v>
      </c>
    </row>
    <row r="49" spans="1:16" x14ac:dyDescent="0.2">
      <c r="A49" t="s">
        <v>739</v>
      </c>
      <c r="B49" t="s">
        <v>740</v>
      </c>
      <c r="C49" t="s">
        <v>741</v>
      </c>
      <c r="D49" s="2">
        <v>1556544330986</v>
      </c>
      <c r="E49" t="s">
        <v>742</v>
      </c>
      <c r="F49" s="2">
        <v>1608044693577</v>
      </c>
      <c r="H49" s="3">
        <v>87</v>
      </c>
      <c r="I49" s="3">
        <v>85</v>
      </c>
      <c r="J49" s="3">
        <v>78</v>
      </c>
      <c r="K49" s="3">
        <v>0</v>
      </c>
      <c r="L49" s="3">
        <v>0</v>
      </c>
      <c r="M49" s="3">
        <v>106</v>
      </c>
      <c r="N49" s="3">
        <v>44</v>
      </c>
      <c r="O49" s="3">
        <v>0</v>
      </c>
      <c r="P49" s="3">
        <v>82</v>
      </c>
    </row>
    <row r="50" spans="1:16" x14ac:dyDescent="0.2">
      <c r="A50" t="s">
        <v>474</v>
      </c>
      <c r="B50" t="s">
        <v>475</v>
      </c>
      <c r="C50" t="s">
        <v>476</v>
      </c>
      <c r="D50" s="2">
        <v>1402590310988</v>
      </c>
      <c r="E50" t="s">
        <v>477</v>
      </c>
      <c r="F50" s="2">
        <v>1608044280909</v>
      </c>
      <c r="H50" s="3">
        <v>4363</v>
      </c>
      <c r="I50" s="3">
        <v>4429</v>
      </c>
      <c r="J50" s="3">
        <v>173018</v>
      </c>
      <c r="K50" s="3">
        <v>25</v>
      </c>
      <c r="L50" s="3">
        <v>112</v>
      </c>
      <c r="M50" s="3">
        <v>1189</v>
      </c>
      <c r="N50" s="3">
        <v>4551</v>
      </c>
      <c r="O50" s="3">
        <v>1</v>
      </c>
      <c r="P50" s="3">
        <v>4915</v>
      </c>
    </row>
    <row r="51" spans="1:16" x14ac:dyDescent="0.2">
      <c r="A51" t="s">
        <v>841</v>
      </c>
      <c r="B51" t="s">
        <v>842</v>
      </c>
      <c r="C51" t="s">
        <v>843</v>
      </c>
      <c r="D51" s="2">
        <v>1618514169825</v>
      </c>
      <c r="E51" t="s">
        <v>844</v>
      </c>
      <c r="F51" s="2">
        <v>1619814652261</v>
      </c>
      <c r="H51" s="3">
        <v>0</v>
      </c>
      <c r="I51" s="3">
        <v>0</v>
      </c>
      <c r="J51" s="3">
        <v>0</v>
      </c>
      <c r="K51" s="3">
        <v>0</v>
      </c>
      <c r="L51" s="3">
        <v>0</v>
      </c>
      <c r="M51" s="3">
        <v>0</v>
      </c>
      <c r="N51" s="3">
        <v>0</v>
      </c>
      <c r="O51" s="3">
        <v>0</v>
      </c>
      <c r="P51" s="3">
        <v>0</v>
      </c>
    </row>
    <row r="52" spans="1:16" x14ac:dyDescent="0.2">
      <c r="A52" t="s">
        <v>616</v>
      </c>
      <c r="B52" t="s">
        <v>617</v>
      </c>
      <c r="C52" t="s">
        <v>618</v>
      </c>
      <c r="D52" s="2">
        <v>1565810340143</v>
      </c>
      <c r="E52" t="s">
        <v>619</v>
      </c>
      <c r="F52" s="2">
        <v>1619475216432</v>
      </c>
      <c r="G52" t="s">
        <v>620</v>
      </c>
      <c r="H52" s="3">
        <v>135955</v>
      </c>
      <c r="I52" s="3">
        <v>1288250</v>
      </c>
      <c r="J52" s="3">
        <v>524643</v>
      </c>
      <c r="K52" s="3">
        <v>0</v>
      </c>
      <c r="L52" s="3">
        <v>67789</v>
      </c>
      <c r="M52" s="3">
        <v>646099</v>
      </c>
      <c r="N52" s="3">
        <v>0</v>
      </c>
      <c r="O52" s="3">
        <v>376899</v>
      </c>
      <c r="P52" s="3">
        <v>1397731</v>
      </c>
    </row>
    <row r="53" spans="1:16" x14ac:dyDescent="0.2">
      <c r="A53" t="s">
        <v>374</v>
      </c>
      <c r="B53" t="s">
        <v>375</v>
      </c>
      <c r="C53" t="s">
        <v>376</v>
      </c>
      <c r="D53" s="2">
        <v>1502166377863</v>
      </c>
      <c r="E53" t="s">
        <v>377</v>
      </c>
      <c r="F53" s="2">
        <v>1612823528186</v>
      </c>
      <c r="G53" t="s">
        <v>378</v>
      </c>
      <c r="H53" s="3">
        <v>364040</v>
      </c>
      <c r="I53" s="3">
        <v>7468260</v>
      </c>
      <c r="J53" s="3">
        <v>1635242</v>
      </c>
      <c r="K53" s="3">
        <v>0</v>
      </c>
      <c r="L53" s="3">
        <v>94590</v>
      </c>
      <c r="M53" s="3">
        <v>2770444</v>
      </c>
      <c r="N53" s="3">
        <v>1845</v>
      </c>
      <c r="O53" s="3">
        <v>234646</v>
      </c>
      <c r="P53" s="3">
        <v>7644268</v>
      </c>
    </row>
    <row r="54" spans="1:16" x14ac:dyDescent="0.2">
      <c r="A54" t="s">
        <v>746</v>
      </c>
      <c r="B54" t="s">
        <v>747</v>
      </c>
      <c r="C54" t="s">
        <v>748</v>
      </c>
      <c r="D54" s="2">
        <v>1610464631809</v>
      </c>
      <c r="E54" t="s">
        <v>749</v>
      </c>
      <c r="F54" s="2">
        <v>1619806230558</v>
      </c>
      <c r="G54" t="s">
        <v>664</v>
      </c>
      <c r="H54" s="3">
        <v>103193</v>
      </c>
      <c r="I54" s="3">
        <v>275474</v>
      </c>
      <c r="J54" s="3">
        <v>252</v>
      </c>
      <c r="K54" s="3">
        <v>0</v>
      </c>
      <c r="L54" s="3">
        <v>0</v>
      </c>
      <c r="M54" s="3">
        <v>0</v>
      </c>
      <c r="N54" s="3">
        <v>17</v>
      </c>
      <c r="O54" s="3">
        <v>0</v>
      </c>
      <c r="P54" s="3">
        <v>288752</v>
      </c>
    </row>
    <row r="55" spans="1:16" x14ac:dyDescent="0.2">
      <c r="A55" t="s">
        <v>660</v>
      </c>
      <c r="B55" t="s">
        <v>661</v>
      </c>
      <c r="C55" t="s">
        <v>662</v>
      </c>
      <c r="D55" s="2">
        <v>1610464544677</v>
      </c>
      <c r="E55" t="s">
        <v>663</v>
      </c>
      <c r="F55" s="2">
        <v>1614030170834</v>
      </c>
      <c r="G55" t="s">
        <v>664</v>
      </c>
      <c r="H55" s="3">
        <v>25776</v>
      </c>
      <c r="I55" s="3">
        <v>16209</v>
      </c>
      <c r="J55" s="3">
        <v>0</v>
      </c>
      <c r="K55" s="3">
        <v>0</v>
      </c>
      <c r="L55" s="3">
        <v>0</v>
      </c>
      <c r="M55" s="3">
        <v>0</v>
      </c>
      <c r="N55" s="3">
        <v>0</v>
      </c>
      <c r="O55" s="3">
        <v>0</v>
      </c>
      <c r="P55" s="3">
        <v>16692</v>
      </c>
    </row>
    <row r="56" spans="1:16" x14ac:dyDescent="0.2">
      <c r="A56" t="s">
        <v>336</v>
      </c>
      <c r="B56" t="s">
        <v>337</v>
      </c>
      <c r="C56" t="s">
        <v>338</v>
      </c>
      <c r="D56" s="2">
        <v>1489522192874</v>
      </c>
      <c r="E56" t="s">
        <v>339</v>
      </c>
      <c r="F56" s="2">
        <v>1608044446996</v>
      </c>
      <c r="H56" s="3">
        <v>1</v>
      </c>
      <c r="I56" s="3">
        <v>1</v>
      </c>
      <c r="J56" s="3">
        <v>0</v>
      </c>
      <c r="K56" s="3">
        <v>0</v>
      </c>
      <c r="L56" s="3">
        <v>0</v>
      </c>
      <c r="M56" s="3">
        <v>0</v>
      </c>
      <c r="N56" s="3">
        <v>0</v>
      </c>
      <c r="O56" s="3">
        <v>0</v>
      </c>
      <c r="P56" s="3">
        <v>1</v>
      </c>
    </row>
    <row r="57" spans="1:16" x14ac:dyDescent="0.2">
      <c r="A57" t="s">
        <v>231</v>
      </c>
      <c r="B57" t="s">
        <v>232</v>
      </c>
      <c r="C57" t="s">
        <v>233</v>
      </c>
      <c r="D57" s="2">
        <v>1445276113957</v>
      </c>
      <c r="E57" t="s">
        <v>234</v>
      </c>
      <c r="F57" s="2">
        <v>1613063542517</v>
      </c>
      <c r="G57" t="s">
        <v>185</v>
      </c>
      <c r="H57" s="3">
        <v>57548</v>
      </c>
      <c r="I57" s="3">
        <v>100052</v>
      </c>
      <c r="J57" s="3">
        <v>98759</v>
      </c>
      <c r="K57" s="3">
        <v>0</v>
      </c>
      <c r="L57" s="3">
        <v>253</v>
      </c>
      <c r="M57" s="3">
        <v>47501</v>
      </c>
      <c r="N57" s="3">
        <v>11398</v>
      </c>
      <c r="O57" s="3">
        <v>1627</v>
      </c>
      <c r="P57" s="3">
        <v>223114</v>
      </c>
    </row>
    <row r="58" spans="1:16" x14ac:dyDescent="0.2">
      <c r="A58" t="s">
        <v>60</v>
      </c>
      <c r="B58" t="s">
        <v>61</v>
      </c>
      <c r="C58" t="s">
        <v>62</v>
      </c>
      <c r="D58" s="2">
        <v>1366664898826</v>
      </c>
      <c r="E58" t="s">
        <v>63</v>
      </c>
      <c r="F58" s="2">
        <v>1619624354197</v>
      </c>
      <c r="G58" t="s">
        <v>20</v>
      </c>
      <c r="H58" s="3">
        <v>1346759</v>
      </c>
      <c r="I58" s="3">
        <v>9275496</v>
      </c>
      <c r="J58" s="3">
        <v>1170850</v>
      </c>
      <c r="K58" s="3">
        <v>2</v>
      </c>
      <c r="L58" s="3">
        <v>5871</v>
      </c>
      <c r="M58" s="3">
        <v>1928526</v>
      </c>
      <c r="N58" s="3">
        <v>67913</v>
      </c>
      <c r="O58" s="3">
        <v>75610</v>
      </c>
      <c r="P58" s="3">
        <v>10392089</v>
      </c>
    </row>
    <row r="59" spans="1:16" x14ac:dyDescent="0.2">
      <c r="A59" t="s">
        <v>577</v>
      </c>
      <c r="B59" t="s">
        <v>578</v>
      </c>
      <c r="C59" t="s">
        <v>579</v>
      </c>
      <c r="D59" s="2">
        <v>1535057916488</v>
      </c>
      <c r="E59" t="s">
        <v>580</v>
      </c>
      <c r="F59" s="2">
        <v>1619720746475</v>
      </c>
      <c r="G59" t="s">
        <v>35</v>
      </c>
      <c r="H59" s="3">
        <v>202669</v>
      </c>
      <c r="I59" s="3">
        <v>809219</v>
      </c>
      <c r="J59" s="3">
        <v>74174</v>
      </c>
      <c r="K59" s="3">
        <v>0</v>
      </c>
      <c r="L59" s="3">
        <v>0</v>
      </c>
      <c r="M59" s="3">
        <v>5</v>
      </c>
      <c r="N59" s="3">
        <v>386</v>
      </c>
      <c r="O59" s="3">
        <v>3</v>
      </c>
      <c r="P59" s="3">
        <v>897902</v>
      </c>
    </row>
    <row r="60" spans="1:16" x14ac:dyDescent="0.2">
      <c r="A60" t="s">
        <v>90</v>
      </c>
      <c r="B60" t="s">
        <v>91</v>
      </c>
      <c r="C60" t="s">
        <v>92</v>
      </c>
      <c r="D60" s="2">
        <v>1520967421447</v>
      </c>
      <c r="E60" t="s">
        <v>93</v>
      </c>
      <c r="F60" s="2">
        <v>1619965914032</v>
      </c>
      <c r="G60" t="s">
        <v>94</v>
      </c>
      <c r="H60" s="3">
        <v>1319214</v>
      </c>
      <c r="I60" s="3">
        <v>18702404</v>
      </c>
      <c r="J60" s="3">
        <v>654635</v>
      </c>
      <c r="K60" s="3">
        <v>0</v>
      </c>
      <c r="L60" s="3">
        <v>0</v>
      </c>
      <c r="M60" s="3">
        <v>0</v>
      </c>
      <c r="N60" s="3">
        <v>8315</v>
      </c>
      <c r="O60" s="3">
        <v>15451</v>
      </c>
      <c r="P60" s="3">
        <v>19279693</v>
      </c>
    </row>
    <row r="61" spans="1:16" x14ac:dyDescent="0.2">
      <c r="A61" t="s">
        <v>669</v>
      </c>
      <c r="B61" t="s">
        <v>670</v>
      </c>
      <c r="C61" t="s">
        <v>671</v>
      </c>
      <c r="D61" s="2">
        <v>1540496459958</v>
      </c>
      <c r="E61" t="s">
        <v>672</v>
      </c>
      <c r="F61" s="2">
        <v>1611859696675</v>
      </c>
      <c r="G61" t="s">
        <v>673</v>
      </c>
      <c r="H61" s="3">
        <v>2134</v>
      </c>
      <c r="I61" s="3">
        <v>2159</v>
      </c>
      <c r="J61" s="3">
        <v>3249</v>
      </c>
      <c r="K61" s="3">
        <v>0</v>
      </c>
      <c r="L61" s="3">
        <v>173</v>
      </c>
      <c r="M61" s="3">
        <v>11123</v>
      </c>
      <c r="N61" s="3">
        <v>1060</v>
      </c>
      <c r="O61" s="3">
        <v>924</v>
      </c>
      <c r="P61" s="3">
        <v>2159</v>
      </c>
    </row>
    <row r="62" spans="1:16" x14ac:dyDescent="0.2">
      <c r="A62" t="s">
        <v>36</v>
      </c>
      <c r="B62" t="s">
        <v>37</v>
      </c>
      <c r="C62" t="s">
        <v>38</v>
      </c>
      <c r="D62" s="2">
        <v>1471611526339</v>
      </c>
      <c r="E62" t="s">
        <v>39</v>
      </c>
      <c r="F62" s="2">
        <v>1611776756732</v>
      </c>
      <c r="G62" t="s">
        <v>40</v>
      </c>
      <c r="H62" s="3">
        <v>74522</v>
      </c>
      <c r="I62" s="3">
        <v>566752</v>
      </c>
      <c r="J62" s="3">
        <v>12747</v>
      </c>
      <c r="K62" s="3">
        <v>0</v>
      </c>
      <c r="L62" s="3">
        <v>216</v>
      </c>
      <c r="M62" s="3">
        <v>30160</v>
      </c>
      <c r="N62" s="3">
        <v>1740</v>
      </c>
      <c r="O62" s="3">
        <v>2705</v>
      </c>
      <c r="P62" s="3">
        <v>610750</v>
      </c>
    </row>
    <row r="63" spans="1:16" x14ac:dyDescent="0.2">
      <c r="A63" t="s">
        <v>466</v>
      </c>
      <c r="B63" t="s">
        <v>467</v>
      </c>
      <c r="C63" t="s">
        <v>468</v>
      </c>
      <c r="D63" s="2">
        <v>1400265695914</v>
      </c>
      <c r="E63" t="s">
        <v>469</v>
      </c>
      <c r="F63" s="2">
        <v>1611716473624</v>
      </c>
      <c r="G63" t="s">
        <v>68</v>
      </c>
      <c r="H63" s="3">
        <v>85535</v>
      </c>
      <c r="I63" s="3">
        <v>299818</v>
      </c>
      <c r="J63" s="3">
        <v>199777</v>
      </c>
      <c r="K63" s="3">
        <v>0</v>
      </c>
      <c r="L63" s="3">
        <v>7761</v>
      </c>
      <c r="M63" s="3">
        <v>609117</v>
      </c>
      <c r="N63" s="3">
        <v>9344</v>
      </c>
      <c r="O63" s="3">
        <v>27622</v>
      </c>
      <c r="P63" s="3">
        <v>364435</v>
      </c>
    </row>
    <row r="64" spans="1:16" x14ac:dyDescent="0.2">
      <c r="A64" t="s">
        <v>837</v>
      </c>
      <c r="B64" t="s">
        <v>838</v>
      </c>
      <c r="C64" t="s">
        <v>839</v>
      </c>
      <c r="D64" s="2">
        <v>1616674543456</v>
      </c>
      <c r="E64" t="s">
        <v>840</v>
      </c>
      <c r="F64" s="2">
        <v>1618343916427</v>
      </c>
      <c r="G64" t="s">
        <v>659</v>
      </c>
      <c r="H64" s="3">
        <v>9</v>
      </c>
      <c r="I64" s="3">
        <v>9</v>
      </c>
      <c r="J64" s="3">
        <v>7</v>
      </c>
      <c r="K64" s="3">
        <v>0</v>
      </c>
      <c r="L64" s="3">
        <v>3</v>
      </c>
      <c r="M64" s="3">
        <v>7</v>
      </c>
      <c r="N64" s="3">
        <v>5</v>
      </c>
      <c r="O64" s="3">
        <v>13</v>
      </c>
      <c r="P64" s="3">
        <v>8</v>
      </c>
    </row>
    <row r="65" spans="1:16" x14ac:dyDescent="0.2">
      <c r="A65" t="s">
        <v>329</v>
      </c>
      <c r="B65" t="s">
        <v>330</v>
      </c>
      <c r="C65" t="s">
        <v>331</v>
      </c>
      <c r="D65" s="2">
        <v>1415663053564</v>
      </c>
      <c r="E65" t="s">
        <v>332</v>
      </c>
      <c r="F65" s="2">
        <v>1615821489915</v>
      </c>
      <c r="G65" t="s">
        <v>185</v>
      </c>
      <c r="H65" s="3">
        <v>79608</v>
      </c>
      <c r="I65" s="3">
        <v>254002</v>
      </c>
      <c r="J65" s="3">
        <v>418663</v>
      </c>
      <c r="K65" s="3">
        <v>3</v>
      </c>
      <c r="L65" s="3">
        <v>1863</v>
      </c>
      <c r="M65" s="3">
        <v>341550</v>
      </c>
      <c r="N65" s="3">
        <v>14866</v>
      </c>
      <c r="O65" s="3">
        <v>8375</v>
      </c>
      <c r="P65" s="3">
        <v>313340</v>
      </c>
    </row>
    <row r="66" spans="1:16" x14ac:dyDescent="0.2">
      <c r="A66" s="1" t="s">
        <v>743</v>
      </c>
      <c r="B66" t="s">
        <v>744</v>
      </c>
      <c r="C66" t="s">
        <v>745</v>
      </c>
      <c r="D66" s="2">
        <v>1580752776436</v>
      </c>
      <c r="E66" t="s">
        <v>442</v>
      </c>
      <c r="F66" s="2">
        <v>1611716483473</v>
      </c>
      <c r="G66" t="s">
        <v>590</v>
      </c>
      <c r="H66" s="3">
        <v>79763</v>
      </c>
      <c r="I66" s="3">
        <v>258778</v>
      </c>
      <c r="J66" s="3">
        <v>1355</v>
      </c>
      <c r="K66" s="3">
        <v>0</v>
      </c>
      <c r="L66" s="3">
        <v>0</v>
      </c>
      <c r="M66" s="3">
        <v>0</v>
      </c>
      <c r="N66" s="3">
        <v>33</v>
      </c>
      <c r="O66" s="3">
        <v>0</v>
      </c>
      <c r="P66" s="3">
        <v>228588</v>
      </c>
    </row>
    <row r="67" spans="1:16" x14ac:dyDescent="0.2">
      <c r="A67" t="s">
        <v>567</v>
      </c>
      <c r="B67" t="s">
        <v>568</v>
      </c>
      <c r="C67" t="s">
        <v>569</v>
      </c>
      <c r="D67" s="2">
        <v>1537201292198</v>
      </c>
      <c r="E67" t="s">
        <v>570</v>
      </c>
      <c r="F67" s="2">
        <v>1618573988395</v>
      </c>
      <c r="G67" t="s">
        <v>571</v>
      </c>
      <c r="H67" s="3">
        <v>8624</v>
      </c>
      <c r="I67" s="3">
        <v>11130</v>
      </c>
      <c r="J67" s="3">
        <v>58505</v>
      </c>
      <c r="K67" s="3">
        <v>0</v>
      </c>
      <c r="L67" s="3">
        <v>10162</v>
      </c>
      <c r="M67" s="3">
        <v>133810</v>
      </c>
      <c r="N67" s="3">
        <v>34120</v>
      </c>
      <c r="O67" s="3">
        <v>10376</v>
      </c>
      <c r="P67" s="3">
        <v>18036</v>
      </c>
    </row>
    <row r="68" spans="1:16" x14ac:dyDescent="0.2">
      <c r="A68" t="s">
        <v>782</v>
      </c>
      <c r="B68" t="s">
        <v>783</v>
      </c>
      <c r="C68" t="s">
        <v>784</v>
      </c>
      <c r="D68" s="2">
        <v>1602188231579</v>
      </c>
      <c r="E68" t="s">
        <v>785</v>
      </c>
      <c r="F68" s="2">
        <v>1613591756144</v>
      </c>
      <c r="G68" t="s">
        <v>633</v>
      </c>
      <c r="H68" s="3">
        <v>0</v>
      </c>
      <c r="I68" s="3">
        <v>0</v>
      </c>
      <c r="J68" s="3">
        <v>0</v>
      </c>
      <c r="K68" s="3">
        <v>0</v>
      </c>
      <c r="L68" s="3">
        <v>0</v>
      </c>
      <c r="M68" s="3">
        <v>0</v>
      </c>
      <c r="N68" s="3">
        <v>0</v>
      </c>
      <c r="O68" s="3">
        <v>0</v>
      </c>
      <c r="P68" s="3">
        <v>0</v>
      </c>
    </row>
    <row r="69" spans="1:16" x14ac:dyDescent="0.2">
      <c r="A69" t="s">
        <v>608</v>
      </c>
      <c r="B69" t="s">
        <v>609</v>
      </c>
      <c r="C69" t="s">
        <v>610</v>
      </c>
      <c r="D69" s="2">
        <v>1543438408980</v>
      </c>
      <c r="E69" t="s">
        <v>611</v>
      </c>
      <c r="F69" s="2">
        <v>1619624504962</v>
      </c>
      <c r="G69" t="s">
        <v>257</v>
      </c>
      <c r="H69" s="3">
        <v>336296</v>
      </c>
      <c r="I69" s="3">
        <v>1367761</v>
      </c>
      <c r="J69" s="3">
        <v>381677</v>
      </c>
      <c r="K69" s="3">
        <v>0</v>
      </c>
      <c r="L69" s="3">
        <v>0</v>
      </c>
      <c r="M69" s="3">
        <v>0</v>
      </c>
      <c r="N69" s="3">
        <v>463</v>
      </c>
      <c r="O69" s="3">
        <v>0</v>
      </c>
      <c r="P69" s="3">
        <v>1992006</v>
      </c>
    </row>
    <row r="70" spans="1:16" x14ac:dyDescent="0.2">
      <c r="A70" s="1" t="s">
        <v>545</v>
      </c>
      <c r="B70" t="s">
        <v>546</v>
      </c>
      <c r="C70" t="s">
        <v>547</v>
      </c>
      <c r="D70" s="2">
        <v>1410534978614</v>
      </c>
      <c r="E70" t="s">
        <v>548</v>
      </c>
      <c r="F70" s="2">
        <v>1619194804077</v>
      </c>
      <c r="G70" t="s">
        <v>549</v>
      </c>
      <c r="H70" s="3">
        <v>886018</v>
      </c>
      <c r="I70" s="3">
        <v>2397319</v>
      </c>
      <c r="J70" s="3">
        <v>639354</v>
      </c>
      <c r="K70" s="3">
        <v>0</v>
      </c>
      <c r="L70" s="3">
        <v>962</v>
      </c>
      <c r="M70" s="3">
        <v>218636</v>
      </c>
      <c r="N70" s="3">
        <v>32536</v>
      </c>
      <c r="O70" s="3">
        <v>17551</v>
      </c>
      <c r="P70" s="3">
        <v>3473827</v>
      </c>
    </row>
    <row r="71" spans="1:16" x14ac:dyDescent="0.2">
      <c r="A71" t="s">
        <v>21</v>
      </c>
      <c r="B71" t="s">
        <v>22</v>
      </c>
      <c r="C71" t="s">
        <v>23</v>
      </c>
      <c r="D71" s="2">
        <v>1366656176752</v>
      </c>
      <c r="E71" t="s">
        <v>24</v>
      </c>
      <c r="F71" s="2">
        <v>1608043949393</v>
      </c>
      <c r="G71" t="s">
        <v>25</v>
      </c>
      <c r="H71" s="3">
        <v>56314</v>
      </c>
      <c r="I71" s="3">
        <v>129857</v>
      </c>
      <c r="J71" s="3">
        <v>113475</v>
      </c>
      <c r="K71" s="3">
        <v>0</v>
      </c>
      <c r="L71" s="3">
        <v>18</v>
      </c>
      <c r="M71" s="3">
        <v>210673</v>
      </c>
      <c r="N71" s="3">
        <v>13694</v>
      </c>
      <c r="O71" s="3">
        <v>0</v>
      </c>
      <c r="P71" s="3">
        <v>139027</v>
      </c>
    </row>
    <row r="72" spans="1:16" x14ac:dyDescent="0.2">
      <c r="A72" t="s">
        <v>258</v>
      </c>
      <c r="B72" t="s">
        <v>259</v>
      </c>
      <c r="C72" t="s">
        <v>260</v>
      </c>
      <c r="D72" s="2">
        <v>1533914126527</v>
      </c>
      <c r="E72" t="s">
        <v>261</v>
      </c>
      <c r="F72" s="2">
        <v>1619555440044</v>
      </c>
      <c r="G72" t="s">
        <v>25</v>
      </c>
      <c r="H72" s="3">
        <v>136447</v>
      </c>
      <c r="I72" s="3">
        <v>308166</v>
      </c>
      <c r="J72" s="3">
        <v>281877</v>
      </c>
      <c r="K72" s="3">
        <v>0</v>
      </c>
      <c r="L72" s="3">
        <v>8302</v>
      </c>
      <c r="M72" s="3">
        <v>491575</v>
      </c>
      <c r="N72" s="3">
        <v>10949</v>
      </c>
      <c r="O72" s="3">
        <v>123017</v>
      </c>
      <c r="P72" s="3">
        <v>266083</v>
      </c>
    </row>
    <row r="73" spans="1:16" x14ac:dyDescent="0.2">
      <c r="A73" t="s">
        <v>665</v>
      </c>
      <c r="B73" t="s">
        <v>666</v>
      </c>
      <c r="C73" t="s">
        <v>667</v>
      </c>
      <c r="D73" s="2">
        <v>1610464863083</v>
      </c>
      <c r="E73" t="s">
        <v>668</v>
      </c>
      <c r="F73" s="2">
        <v>1617630197578</v>
      </c>
      <c r="G73" t="s">
        <v>659</v>
      </c>
      <c r="H73" s="3">
        <v>0</v>
      </c>
      <c r="I73" s="3">
        <v>0</v>
      </c>
      <c r="J73" s="3">
        <v>0</v>
      </c>
      <c r="K73" s="3">
        <v>0</v>
      </c>
      <c r="L73" s="3">
        <v>0</v>
      </c>
      <c r="M73" s="3">
        <v>0</v>
      </c>
      <c r="N73" s="3">
        <v>0</v>
      </c>
      <c r="O73" s="3">
        <v>0</v>
      </c>
      <c r="P73" s="3">
        <v>0</v>
      </c>
    </row>
    <row r="74" spans="1:16" x14ac:dyDescent="0.2">
      <c r="A74" t="s">
        <v>754</v>
      </c>
      <c r="B74" t="s">
        <v>755</v>
      </c>
      <c r="C74" t="s">
        <v>756</v>
      </c>
      <c r="D74" s="2">
        <v>1610464811740</v>
      </c>
      <c r="E74" t="s">
        <v>757</v>
      </c>
      <c r="F74" s="2">
        <v>1619532628066</v>
      </c>
      <c r="G74" t="s">
        <v>664</v>
      </c>
      <c r="H74" s="3">
        <v>2789</v>
      </c>
      <c r="I74" s="3">
        <v>2732</v>
      </c>
      <c r="J74" s="3">
        <v>34</v>
      </c>
      <c r="K74" s="3">
        <v>51104</v>
      </c>
      <c r="L74" s="3">
        <v>64</v>
      </c>
      <c r="M74" s="3">
        <v>35</v>
      </c>
      <c r="N74" s="3">
        <v>17</v>
      </c>
      <c r="O74" s="3">
        <v>3</v>
      </c>
      <c r="P74" s="3">
        <v>2740</v>
      </c>
    </row>
    <row r="75" spans="1:16" x14ac:dyDescent="0.2">
      <c r="A75" t="s">
        <v>830</v>
      </c>
      <c r="B75" t="s">
        <v>831</v>
      </c>
      <c r="C75" t="s">
        <v>832</v>
      </c>
      <c r="D75" s="2">
        <v>1565023708762</v>
      </c>
      <c r="E75" t="s">
        <v>469</v>
      </c>
      <c r="F75" s="2">
        <v>1611716473472</v>
      </c>
      <c r="G75" t="s">
        <v>646</v>
      </c>
      <c r="H75" s="3">
        <v>1182</v>
      </c>
      <c r="I75" s="3">
        <v>1316</v>
      </c>
      <c r="J75" s="3">
        <v>1238</v>
      </c>
      <c r="K75" s="3">
        <v>0</v>
      </c>
      <c r="L75" s="3">
        <v>19</v>
      </c>
      <c r="M75" s="3">
        <v>3636</v>
      </c>
      <c r="N75" s="3">
        <v>1202</v>
      </c>
      <c r="O75" s="3">
        <v>586</v>
      </c>
      <c r="P75" s="3">
        <v>1315</v>
      </c>
    </row>
    <row r="76" spans="1:16" x14ac:dyDescent="0.2">
      <c r="A76" t="s">
        <v>541</v>
      </c>
      <c r="B76" t="s">
        <v>542</v>
      </c>
      <c r="C76" t="s">
        <v>543</v>
      </c>
      <c r="D76" s="2">
        <v>1424903564253</v>
      </c>
      <c r="E76" t="s">
        <v>544</v>
      </c>
      <c r="F76" s="2">
        <v>1614116046566</v>
      </c>
      <c r="G76" t="s">
        <v>25</v>
      </c>
      <c r="H76" s="3">
        <v>977281</v>
      </c>
      <c r="I76" s="3">
        <v>2448441</v>
      </c>
      <c r="J76" s="3">
        <v>929422</v>
      </c>
      <c r="K76" s="3">
        <v>2</v>
      </c>
      <c r="L76" s="3">
        <v>32259</v>
      </c>
      <c r="M76" s="3">
        <v>2625395</v>
      </c>
      <c r="N76" s="3">
        <v>69296</v>
      </c>
      <c r="O76" s="3">
        <v>183439</v>
      </c>
      <c r="P76" s="3">
        <v>2448444</v>
      </c>
    </row>
    <row r="77" spans="1:16" x14ac:dyDescent="0.2">
      <c r="A77" t="s">
        <v>100</v>
      </c>
      <c r="B77" t="s">
        <v>101</v>
      </c>
      <c r="C77" t="s">
        <v>102</v>
      </c>
      <c r="D77" s="2">
        <v>1488896634310</v>
      </c>
      <c r="E77" t="s">
        <v>103</v>
      </c>
      <c r="F77" s="2">
        <v>1618857101872</v>
      </c>
      <c r="G77" t="s">
        <v>20</v>
      </c>
      <c r="H77" s="3">
        <v>850500</v>
      </c>
      <c r="I77" s="3">
        <v>2925050</v>
      </c>
      <c r="J77" s="3">
        <v>1213911</v>
      </c>
      <c r="K77" s="3">
        <v>0</v>
      </c>
      <c r="L77" s="3">
        <v>18950</v>
      </c>
      <c r="M77" s="3">
        <v>608568</v>
      </c>
      <c r="N77" s="3">
        <v>24711</v>
      </c>
      <c r="O77" s="3">
        <v>218606</v>
      </c>
      <c r="P77" s="3">
        <v>3974171</v>
      </c>
    </row>
    <row r="78" spans="1:16" x14ac:dyDescent="0.2">
      <c r="A78" t="s">
        <v>50</v>
      </c>
      <c r="B78" t="s">
        <v>51</v>
      </c>
      <c r="C78" t="s">
        <v>52</v>
      </c>
      <c r="D78" s="2">
        <v>1445281555721</v>
      </c>
      <c r="E78" t="s">
        <v>53</v>
      </c>
      <c r="F78" s="2">
        <v>1615865950258</v>
      </c>
      <c r="G78" t="s">
        <v>54</v>
      </c>
      <c r="H78" s="3">
        <v>74940</v>
      </c>
      <c r="I78" s="3">
        <v>161679</v>
      </c>
      <c r="J78" s="3">
        <v>24227</v>
      </c>
      <c r="K78" s="3">
        <v>0</v>
      </c>
      <c r="L78" s="3">
        <v>0</v>
      </c>
      <c r="M78" s="3">
        <v>0</v>
      </c>
      <c r="N78" s="3">
        <v>1637</v>
      </c>
      <c r="O78" s="3">
        <v>0</v>
      </c>
      <c r="P78" s="3">
        <v>265963</v>
      </c>
    </row>
    <row r="79" spans="1:16" x14ac:dyDescent="0.2">
      <c r="A79" t="s">
        <v>16</v>
      </c>
      <c r="B79" t="s">
        <v>17</v>
      </c>
      <c r="C79" t="s">
        <v>18</v>
      </c>
      <c r="D79" s="2">
        <v>1426799288740</v>
      </c>
      <c r="E79" t="s">
        <v>19</v>
      </c>
      <c r="F79" s="2">
        <v>1619472880985</v>
      </c>
      <c r="G79" t="s">
        <v>20</v>
      </c>
      <c r="H79" s="3">
        <v>3126558</v>
      </c>
      <c r="I79" s="3">
        <v>12753985</v>
      </c>
      <c r="J79" s="3">
        <v>3722154</v>
      </c>
      <c r="K79" s="3">
        <v>0</v>
      </c>
      <c r="L79" s="3">
        <v>90221</v>
      </c>
      <c r="M79" s="3">
        <v>8273940</v>
      </c>
      <c r="N79" s="3">
        <v>181222</v>
      </c>
      <c r="O79" s="3">
        <v>1075208</v>
      </c>
      <c r="P79" s="3">
        <v>16503107</v>
      </c>
    </row>
    <row r="80" spans="1:16" x14ac:dyDescent="0.2">
      <c r="A80" s="1" t="s">
        <v>692</v>
      </c>
      <c r="B80" t="s">
        <v>693</v>
      </c>
      <c r="C80" t="s">
        <v>694</v>
      </c>
      <c r="D80" s="2">
        <v>1586892848181</v>
      </c>
      <c r="E80" t="s">
        <v>695</v>
      </c>
      <c r="F80" s="2">
        <v>1619716443741</v>
      </c>
      <c r="G80" t="s">
        <v>659</v>
      </c>
      <c r="H80" s="3">
        <v>1515</v>
      </c>
      <c r="I80" s="3">
        <v>1058</v>
      </c>
      <c r="J80" s="3">
        <v>457</v>
      </c>
      <c r="K80" s="3">
        <v>9</v>
      </c>
      <c r="L80" s="3">
        <v>0</v>
      </c>
      <c r="M80" s="3">
        <v>37</v>
      </c>
      <c r="N80" s="3">
        <v>0</v>
      </c>
      <c r="O80" s="3">
        <v>462</v>
      </c>
      <c r="P80" s="3">
        <v>1058</v>
      </c>
    </row>
    <row r="81" spans="1:16" x14ac:dyDescent="0.2">
      <c r="A81" t="s">
        <v>444</v>
      </c>
      <c r="B81" t="s">
        <v>445</v>
      </c>
      <c r="C81" t="s">
        <v>446</v>
      </c>
      <c r="D81" s="2">
        <v>1497233952538</v>
      </c>
      <c r="E81" t="s">
        <v>447</v>
      </c>
      <c r="F81" s="2">
        <v>1619475263412</v>
      </c>
      <c r="G81" t="s">
        <v>448</v>
      </c>
      <c r="H81" s="3">
        <v>40369</v>
      </c>
      <c r="I81" s="3">
        <v>98343</v>
      </c>
      <c r="J81" s="3">
        <v>38048</v>
      </c>
      <c r="K81" s="3">
        <v>1</v>
      </c>
      <c r="L81" s="3">
        <v>1717</v>
      </c>
      <c r="M81" s="3">
        <v>102310</v>
      </c>
      <c r="N81" s="3">
        <v>7786</v>
      </c>
      <c r="O81" s="3">
        <v>12847</v>
      </c>
      <c r="P81" s="3">
        <v>188909</v>
      </c>
    </row>
    <row r="82" spans="1:16" x14ac:dyDescent="0.2">
      <c r="A82" t="s">
        <v>107</v>
      </c>
      <c r="B82" t="s">
        <v>108</v>
      </c>
      <c r="C82" t="s">
        <v>109</v>
      </c>
      <c r="D82" s="2">
        <v>1498766285158</v>
      </c>
      <c r="E82" t="s">
        <v>110</v>
      </c>
      <c r="F82" s="2">
        <v>1619616158745</v>
      </c>
      <c r="G82" t="s">
        <v>35</v>
      </c>
      <c r="H82" s="3">
        <v>1290262</v>
      </c>
      <c r="I82" s="3">
        <v>8917066</v>
      </c>
      <c r="J82" s="3">
        <v>5156011</v>
      </c>
      <c r="K82" s="3">
        <v>0</v>
      </c>
      <c r="L82" s="3">
        <v>875173</v>
      </c>
      <c r="M82" s="3">
        <v>4836803</v>
      </c>
      <c r="N82" s="3">
        <v>1573</v>
      </c>
      <c r="O82" s="3">
        <v>4115510</v>
      </c>
      <c r="P82" s="3">
        <v>12815502</v>
      </c>
    </row>
    <row r="83" spans="1:16" x14ac:dyDescent="0.2">
      <c r="A83" t="s">
        <v>799</v>
      </c>
      <c r="B83" t="s">
        <v>800</v>
      </c>
      <c r="C83" t="s">
        <v>801</v>
      </c>
      <c r="D83" s="2">
        <v>1552678884062</v>
      </c>
      <c r="E83" t="s">
        <v>802</v>
      </c>
      <c r="F83" s="2">
        <v>1611716490077</v>
      </c>
      <c r="G83" t="s">
        <v>94</v>
      </c>
      <c r="H83" s="3">
        <v>129151</v>
      </c>
      <c r="I83" s="3">
        <v>342007</v>
      </c>
      <c r="J83" s="3">
        <v>27315</v>
      </c>
      <c r="K83" s="3">
        <v>0</v>
      </c>
      <c r="L83" s="3">
        <v>0</v>
      </c>
      <c r="M83" s="3">
        <v>0</v>
      </c>
      <c r="N83" s="3">
        <v>347</v>
      </c>
      <c r="O83" s="3">
        <v>137</v>
      </c>
      <c r="P83" s="3">
        <v>562168</v>
      </c>
    </row>
    <row r="84" spans="1:16" x14ac:dyDescent="0.2">
      <c r="A84" t="s">
        <v>73</v>
      </c>
      <c r="B84" t="s">
        <v>74</v>
      </c>
      <c r="C84" t="s">
        <v>75</v>
      </c>
      <c r="D84" s="2">
        <v>1435237691278</v>
      </c>
      <c r="E84" t="s">
        <v>58</v>
      </c>
      <c r="F84" s="2">
        <v>1611716479176</v>
      </c>
      <c r="G84" t="s">
        <v>76</v>
      </c>
      <c r="H84" s="3">
        <v>438034</v>
      </c>
      <c r="I84" s="3">
        <v>1017874</v>
      </c>
      <c r="J84" s="3">
        <v>98506</v>
      </c>
      <c r="K84" s="3">
        <v>1</v>
      </c>
      <c r="L84" s="3">
        <v>13</v>
      </c>
      <c r="M84" s="3">
        <v>13005</v>
      </c>
      <c r="N84" s="3">
        <v>8896</v>
      </c>
      <c r="O84" s="3">
        <v>3158</v>
      </c>
      <c r="P84" s="3">
        <v>1343499</v>
      </c>
    </row>
    <row r="85" spans="1:16" x14ac:dyDescent="0.2">
      <c r="A85" t="s">
        <v>688</v>
      </c>
      <c r="B85" t="s">
        <v>689</v>
      </c>
      <c r="C85" t="s">
        <v>690</v>
      </c>
      <c r="D85" s="2">
        <v>1584389014364</v>
      </c>
      <c r="E85" t="s">
        <v>691</v>
      </c>
      <c r="F85" s="2">
        <v>1616782698510</v>
      </c>
      <c r="H85" s="3">
        <v>116222</v>
      </c>
      <c r="I85" s="3">
        <v>347290</v>
      </c>
      <c r="J85" s="3">
        <v>352007</v>
      </c>
      <c r="K85" s="3">
        <v>0</v>
      </c>
      <c r="L85" s="3">
        <v>3513</v>
      </c>
      <c r="M85" s="3">
        <v>610801</v>
      </c>
      <c r="N85" s="3">
        <v>7846</v>
      </c>
      <c r="O85" s="3">
        <v>378818</v>
      </c>
      <c r="P85" s="3">
        <v>353120</v>
      </c>
    </row>
    <row r="86" spans="1:16" x14ac:dyDescent="0.2">
      <c r="A86" t="s">
        <v>409</v>
      </c>
      <c r="B86" t="s">
        <v>410</v>
      </c>
      <c r="C86" t="s">
        <v>411</v>
      </c>
      <c r="D86" s="2">
        <v>1474476535612</v>
      </c>
      <c r="E86" t="s">
        <v>408</v>
      </c>
      <c r="F86" s="2">
        <v>1608044377967</v>
      </c>
      <c r="G86" t="s">
        <v>412</v>
      </c>
      <c r="H86" s="3">
        <v>4</v>
      </c>
      <c r="I86" s="3">
        <v>3</v>
      </c>
      <c r="J86" s="3">
        <v>13</v>
      </c>
      <c r="K86" s="3">
        <v>0</v>
      </c>
      <c r="L86" s="3">
        <v>0</v>
      </c>
      <c r="M86" s="3">
        <v>0</v>
      </c>
      <c r="N86" s="3">
        <v>12</v>
      </c>
      <c r="O86" s="3">
        <v>0</v>
      </c>
      <c r="P86" s="3">
        <v>3</v>
      </c>
    </row>
    <row r="87" spans="1:16" x14ac:dyDescent="0.2">
      <c r="A87" t="s">
        <v>135</v>
      </c>
      <c r="B87" t="s">
        <v>136</v>
      </c>
      <c r="C87" t="s">
        <v>137</v>
      </c>
      <c r="D87" s="2">
        <v>1428343693006</v>
      </c>
      <c r="E87" t="s">
        <v>138</v>
      </c>
      <c r="F87" s="2">
        <v>1615235163830</v>
      </c>
      <c r="G87" t="s">
        <v>139</v>
      </c>
      <c r="H87" s="3">
        <v>90381</v>
      </c>
      <c r="I87" s="3">
        <v>249914</v>
      </c>
      <c r="J87" s="3">
        <v>1333</v>
      </c>
      <c r="K87" s="3">
        <v>0</v>
      </c>
      <c r="L87" s="3">
        <v>2</v>
      </c>
      <c r="M87" s="3">
        <v>3976</v>
      </c>
      <c r="N87" s="3">
        <v>4</v>
      </c>
      <c r="O87" s="3">
        <v>0</v>
      </c>
      <c r="P87" s="3">
        <v>278499</v>
      </c>
    </row>
    <row r="88" spans="1:16" x14ac:dyDescent="0.2">
      <c r="A88" t="s">
        <v>647</v>
      </c>
      <c r="B88" t="s">
        <v>648</v>
      </c>
      <c r="C88" t="s">
        <v>649</v>
      </c>
      <c r="D88" s="2">
        <v>1579208781793</v>
      </c>
      <c r="E88" t="s">
        <v>650</v>
      </c>
      <c r="F88" s="2">
        <v>1619705999095</v>
      </c>
      <c r="G88" t="s">
        <v>94</v>
      </c>
      <c r="H88" s="3">
        <v>303769</v>
      </c>
      <c r="I88" s="3">
        <v>999618</v>
      </c>
      <c r="J88" s="3">
        <v>116784</v>
      </c>
      <c r="K88" s="3">
        <v>0</v>
      </c>
      <c r="L88" s="3">
        <v>0</v>
      </c>
      <c r="M88" s="3">
        <v>0</v>
      </c>
      <c r="N88" s="3">
        <v>494</v>
      </c>
      <c r="O88" s="3">
        <v>0</v>
      </c>
      <c r="P88" s="3">
        <v>1504164</v>
      </c>
    </row>
    <row r="89" spans="1:16" x14ac:dyDescent="0.2">
      <c r="A89" t="s">
        <v>812</v>
      </c>
      <c r="B89" t="s">
        <v>813</v>
      </c>
      <c r="C89" t="s">
        <v>814</v>
      </c>
      <c r="D89" s="2">
        <v>1577983129055</v>
      </c>
      <c r="E89" t="s">
        <v>815</v>
      </c>
      <c r="F89" s="2">
        <v>1614960096164</v>
      </c>
      <c r="G89" t="s">
        <v>816</v>
      </c>
      <c r="H89" s="3">
        <v>78958</v>
      </c>
      <c r="I89" s="3">
        <v>234249</v>
      </c>
      <c r="J89" s="3">
        <v>7620</v>
      </c>
      <c r="K89" s="3">
        <v>0</v>
      </c>
      <c r="L89" s="3">
        <v>0</v>
      </c>
      <c r="M89" s="3">
        <v>0</v>
      </c>
      <c r="N89" s="3">
        <v>170</v>
      </c>
      <c r="O89" s="3">
        <v>46708</v>
      </c>
      <c r="P89" s="3">
        <v>284944</v>
      </c>
    </row>
    <row r="90" spans="1:16" x14ac:dyDescent="0.2">
      <c r="A90" t="s">
        <v>449</v>
      </c>
      <c r="B90" t="s">
        <v>450</v>
      </c>
      <c r="C90" t="s">
        <v>451</v>
      </c>
      <c r="D90" s="2">
        <v>1519760604716</v>
      </c>
      <c r="E90" t="s">
        <v>452</v>
      </c>
      <c r="F90" s="2">
        <v>1615837045947</v>
      </c>
      <c r="G90" t="s">
        <v>453</v>
      </c>
      <c r="H90" s="3">
        <v>597</v>
      </c>
      <c r="I90" s="3">
        <v>659</v>
      </c>
      <c r="J90" s="3">
        <v>3367</v>
      </c>
      <c r="K90" s="3">
        <v>0</v>
      </c>
      <c r="L90" s="3">
        <v>571</v>
      </c>
      <c r="M90" s="3">
        <v>13335</v>
      </c>
      <c r="N90" s="3">
        <v>464</v>
      </c>
      <c r="O90" s="3">
        <v>156</v>
      </c>
      <c r="P90" s="3">
        <v>663</v>
      </c>
    </row>
    <row r="91" spans="1:16" x14ac:dyDescent="0.2">
      <c r="A91" t="s">
        <v>762</v>
      </c>
      <c r="B91" t="s">
        <v>763</v>
      </c>
      <c r="C91" t="s">
        <v>764</v>
      </c>
      <c r="D91" s="2">
        <v>1554912560469</v>
      </c>
      <c r="E91" t="s">
        <v>765</v>
      </c>
      <c r="F91" s="2">
        <v>1616173876570</v>
      </c>
      <c r="G91" t="s">
        <v>89</v>
      </c>
      <c r="H91" s="3">
        <v>4569</v>
      </c>
      <c r="I91" s="3">
        <v>8882</v>
      </c>
      <c r="J91" s="3">
        <v>2366</v>
      </c>
      <c r="K91" s="3">
        <v>0</v>
      </c>
      <c r="L91" s="3">
        <v>411</v>
      </c>
      <c r="M91" s="3">
        <v>7250</v>
      </c>
      <c r="N91" s="3">
        <v>1741</v>
      </c>
      <c r="O91" s="3">
        <v>1499</v>
      </c>
      <c r="P91" s="3">
        <v>9256</v>
      </c>
    </row>
    <row r="92" spans="1:16" x14ac:dyDescent="0.2">
      <c r="A92" t="s">
        <v>145</v>
      </c>
      <c r="B92" t="s">
        <v>146</v>
      </c>
      <c r="C92" t="s">
        <v>147</v>
      </c>
      <c r="D92" s="2">
        <v>1475080035116</v>
      </c>
      <c r="E92" t="s">
        <v>148</v>
      </c>
      <c r="F92" s="2">
        <v>1608044381302</v>
      </c>
      <c r="G92" t="s">
        <v>149</v>
      </c>
      <c r="H92" s="3">
        <v>10</v>
      </c>
      <c r="I92" s="3">
        <v>10</v>
      </c>
      <c r="J92" s="3">
        <v>11</v>
      </c>
      <c r="K92" s="3">
        <v>0</v>
      </c>
      <c r="L92" s="3">
        <v>0</v>
      </c>
      <c r="M92" s="3">
        <v>0</v>
      </c>
      <c r="N92" s="3">
        <v>15</v>
      </c>
      <c r="O92" s="3">
        <v>0</v>
      </c>
      <c r="P92" s="3">
        <v>16</v>
      </c>
    </row>
    <row r="93" spans="1:16" x14ac:dyDescent="0.2">
      <c r="A93" t="s">
        <v>439</v>
      </c>
      <c r="B93" t="s">
        <v>440</v>
      </c>
      <c r="C93" t="s">
        <v>441</v>
      </c>
      <c r="D93" s="2">
        <v>1470257999931</v>
      </c>
      <c r="E93" t="s">
        <v>442</v>
      </c>
      <c r="F93" s="2">
        <v>1611716483836</v>
      </c>
      <c r="G93" t="s">
        <v>443</v>
      </c>
      <c r="H93" s="3">
        <v>43733</v>
      </c>
      <c r="I93" s="3">
        <v>57351</v>
      </c>
      <c r="J93" s="3">
        <v>100339</v>
      </c>
      <c r="K93" s="3">
        <v>1</v>
      </c>
      <c r="L93" s="3">
        <v>1537</v>
      </c>
      <c r="M93" s="3">
        <v>223934</v>
      </c>
      <c r="N93" s="3">
        <v>24059</v>
      </c>
      <c r="O93" s="3">
        <v>9229</v>
      </c>
      <c r="P93" s="3">
        <v>57579</v>
      </c>
    </row>
    <row r="94" spans="1:16" x14ac:dyDescent="0.2">
      <c r="A94" t="s">
        <v>527</v>
      </c>
      <c r="B94" t="s">
        <v>528</v>
      </c>
      <c r="C94" t="s">
        <v>529</v>
      </c>
      <c r="D94" s="2">
        <v>1509472614682</v>
      </c>
      <c r="E94" t="s">
        <v>530</v>
      </c>
      <c r="F94" s="2">
        <v>1608044532389</v>
      </c>
      <c r="G94" t="s">
        <v>531</v>
      </c>
      <c r="H94" s="3">
        <v>0</v>
      </c>
      <c r="I94" s="3">
        <v>0</v>
      </c>
      <c r="J94" s="3">
        <v>0</v>
      </c>
      <c r="K94" s="3">
        <v>0</v>
      </c>
      <c r="L94" s="3">
        <v>0</v>
      </c>
      <c r="M94" s="3">
        <v>0</v>
      </c>
      <c r="N94" s="3">
        <v>0</v>
      </c>
      <c r="O94" s="3">
        <v>0</v>
      </c>
      <c r="P94" s="3">
        <v>0</v>
      </c>
    </row>
    <row r="95" spans="1:16" x14ac:dyDescent="0.2">
      <c r="A95" t="s">
        <v>168</v>
      </c>
      <c r="B95" t="s">
        <v>169</v>
      </c>
      <c r="C95" t="s">
        <v>170</v>
      </c>
      <c r="D95" s="2">
        <v>1528310444333</v>
      </c>
      <c r="E95" t="s">
        <v>171</v>
      </c>
      <c r="F95" s="2">
        <v>1619112519721</v>
      </c>
      <c r="G95" t="s">
        <v>172</v>
      </c>
      <c r="H95" s="3">
        <v>274673</v>
      </c>
      <c r="I95" s="3">
        <v>1578353</v>
      </c>
      <c r="J95" s="3">
        <v>1324116</v>
      </c>
      <c r="K95" s="3">
        <v>0</v>
      </c>
      <c r="L95" s="3">
        <v>26174</v>
      </c>
      <c r="M95" s="3">
        <v>2110831</v>
      </c>
      <c r="N95" s="3">
        <v>979798</v>
      </c>
      <c r="O95" s="3">
        <v>439852</v>
      </c>
      <c r="P95" s="3">
        <v>313853</v>
      </c>
    </row>
    <row r="96" spans="1:16" x14ac:dyDescent="0.2">
      <c r="A96" t="s">
        <v>294</v>
      </c>
      <c r="B96" t="s">
        <v>295</v>
      </c>
      <c r="C96" t="s">
        <v>296</v>
      </c>
      <c r="D96" s="2">
        <v>1445526944556</v>
      </c>
      <c r="E96" t="s">
        <v>297</v>
      </c>
      <c r="F96" s="2">
        <v>1608582140942</v>
      </c>
      <c r="G96" t="s">
        <v>298</v>
      </c>
      <c r="H96" s="3">
        <v>147608</v>
      </c>
      <c r="I96" s="3">
        <v>508953</v>
      </c>
      <c r="J96" s="3">
        <v>158889</v>
      </c>
      <c r="K96" s="3">
        <v>102695</v>
      </c>
      <c r="L96" s="3">
        <v>8321</v>
      </c>
      <c r="M96" s="3">
        <v>654786</v>
      </c>
      <c r="N96" s="3">
        <v>75246</v>
      </c>
      <c r="O96" s="3">
        <v>26881</v>
      </c>
      <c r="P96" s="3">
        <v>528708</v>
      </c>
    </row>
    <row r="97" spans="1:16" x14ac:dyDescent="0.2">
      <c r="A97" t="s">
        <v>515</v>
      </c>
      <c r="B97" t="s">
        <v>516</v>
      </c>
      <c r="C97" t="s">
        <v>517</v>
      </c>
      <c r="D97" s="2">
        <v>1480615766866</v>
      </c>
      <c r="E97" t="s">
        <v>518</v>
      </c>
      <c r="F97" s="2">
        <v>1619185149109</v>
      </c>
      <c r="G97" t="s">
        <v>519</v>
      </c>
      <c r="H97" s="3">
        <v>137439</v>
      </c>
      <c r="I97" s="3">
        <v>441986</v>
      </c>
      <c r="J97" s="3">
        <v>36481</v>
      </c>
      <c r="K97" s="3">
        <v>0</v>
      </c>
      <c r="L97" s="3">
        <v>1922</v>
      </c>
      <c r="M97" s="3">
        <v>86747</v>
      </c>
      <c r="N97" s="3">
        <v>11848</v>
      </c>
      <c r="O97" s="3">
        <v>19882</v>
      </c>
      <c r="P97" s="3">
        <v>537847</v>
      </c>
    </row>
    <row r="98" spans="1:16" x14ac:dyDescent="0.2">
      <c r="A98" t="s">
        <v>462</v>
      </c>
      <c r="B98" t="s">
        <v>463</v>
      </c>
      <c r="C98" t="s">
        <v>464</v>
      </c>
      <c r="D98" s="2">
        <v>1435763012863</v>
      </c>
      <c r="E98" t="s">
        <v>465</v>
      </c>
      <c r="F98" s="2">
        <v>1611600071205</v>
      </c>
      <c r="G98" t="s">
        <v>68</v>
      </c>
      <c r="H98" s="3">
        <v>115875</v>
      </c>
      <c r="I98" s="3">
        <v>243025</v>
      </c>
      <c r="J98" s="3">
        <v>47670</v>
      </c>
      <c r="K98" s="3">
        <v>3</v>
      </c>
      <c r="L98" s="3">
        <v>614</v>
      </c>
      <c r="M98" s="3">
        <v>135357</v>
      </c>
      <c r="N98" s="3">
        <v>6998</v>
      </c>
      <c r="O98" s="3">
        <v>6945</v>
      </c>
      <c r="P98" s="3">
        <v>243567</v>
      </c>
    </row>
    <row r="99" spans="1:16" x14ac:dyDescent="0.2">
      <c r="A99" t="s">
        <v>115</v>
      </c>
      <c r="B99" t="s">
        <v>116</v>
      </c>
      <c r="C99" t="s">
        <v>117</v>
      </c>
      <c r="D99" s="2">
        <v>1524604979391</v>
      </c>
      <c r="E99" t="s">
        <v>118</v>
      </c>
      <c r="F99" s="2">
        <v>1611716526855</v>
      </c>
      <c r="G99" t="s">
        <v>59</v>
      </c>
      <c r="H99" s="3">
        <v>129206</v>
      </c>
      <c r="I99" s="3">
        <v>580083</v>
      </c>
      <c r="J99" s="3">
        <v>26064</v>
      </c>
      <c r="K99" s="3">
        <v>0</v>
      </c>
      <c r="L99" s="3">
        <v>0</v>
      </c>
      <c r="M99" s="3">
        <v>0</v>
      </c>
      <c r="N99" s="3">
        <v>6360</v>
      </c>
      <c r="O99" s="3">
        <v>1337</v>
      </c>
      <c r="P99" s="3">
        <v>658391</v>
      </c>
    </row>
    <row r="100" spans="1:16" x14ac:dyDescent="0.2">
      <c r="A100" t="s">
        <v>85</v>
      </c>
      <c r="B100" t="s">
        <v>86</v>
      </c>
      <c r="C100" t="s">
        <v>87</v>
      </c>
      <c r="D100" s="2">
        <v>1436378597060</v>
      </c>
      <c r="E100" t="s">
        <v>88</v>
      </c>
      <c r="F100" s="2">
        <v>1611716474137</v>
      </c>
      <c r="G100" t="s">
        <v>89</v>
      </c>
      <c r="H100" s="3">
        <v>237767</v>
      </c>
      <c r="I100" s="3">
        <v>569827</v>
      </c>
      <c r="J100" s="3">
        <v>486624</v>
      </c>
      <c r="K100" s="3">
        <v>0</v>
      </c>
      <c r="L100" s="3">
        <v>20121</v>
      </c>
      <c r="M100" s="3">
        <v>1377591</v>
      </c>
      <c r="N100" s="3">
        <v>41848</v>
      </c>
      <c r="O100" s="3">
        <v>198715</v>
      </c>
      <c r="P100" s="3">
        <v>571004</v>
      </c>
    </row>
    <row r="101" spans="1:16" x14ac:dyDescent="0.2">
      <c r="A101" t="s">
        <v>69</v>
      </c>
      <c r="B101" t="s">
        <v>70</v>
      </c>
      <c r="C101" t="s">
        <v>71</v>
      </c>
      <c r="D101" s="2">
        <v>1430259883485</v>
      </c>
      <c r="E101" t="s">
        <v>72</v>
      </c>
      <c r="F101" s="2">
        <v>1617947692320</v>
      </c>
      <c r="G101" t="s">
        <v>59</v>
      </c>
      <c r="H101" s="3">
        <v>538511</v>
      </c>
      <c r="I101" s="3">
        <v>5798204</v>
      </c>
      <c r="J101" s="3">
        <v>284377</v>
      </c>
      <c r="K101" s="3">
        <v>0</v>
      </c>
      <c r="L101" s="3">
        <v>0</v>
      </c>
      <c r="M101" s="3">
        <v>0</v>
      </c>
      <c r="N101" s="3">
        <v>979</v>
      </c>
      <c r="O101" s="3">
        <v>3199</v>
      </c>
      <c r="P101" s="3">
        <v>6038656</v>
      </c>
    </row>
    <row r="102" spans="1:16" x14ac:dyDescent="0.2">
      <c r="A102" t="s">
        <v>26</v>
      </c>
      <c r="B102" t="s">
        <v>27</v>
      </c>
      <c r="C102" t="s">
        <v>28</v>
      </c>
      <c r="D102" s="2">
        <v>1366649172837</v>
      </c>
      <c r="E102" t="s">
        <v>29</v>
      </c>
      <c r="F102" s="2">
        <v>1619551304239</v>
      </c>
      <c r="G102" t="s">
        <v>30</v>
      </c>
      <c r="H102" s="3">
        <v>225073</v>
      </c>
      <c r="I102" s="3">
        <v>1564238</v>
      </c>
      <c r="J102" s="3">
        <v>138189</v>
      </c>
      <c r="K102" s="3">
        <v>3</v>
      </c>
      <c r="L102" s="3">
        <v>3224</v>
      </c>
      <c r="M102" s="3">
        <v>266858</v>
      </c>
      <c r="N102" s="3">
        <v>23740</v>
      </c>
      <c r="O102" s="3">
        <v>15622</v>
      </c>
      <c r="P102" s="3">
        <v>1703217</v>
      </c>
    </row>
    <row r="103" spans="1:16" x14ac:dyDescent="0.2">
      <c r="A103" t="s">
        <v>405</v>
      </c>
      <c r="B103" t="s">
        <v>406</v>
      </c>
      <c r="C103" t="s">
        <v>407</v>
      </c>
      <c r="D103" s="2">
        <v>1474402336481</v>
      </c>
      <c r="E103" t="s">
        <v>408</v>
      </c>
      <c r="F103" s="2">
        <v>1608044377542</v>
      </c>
      <c r="G103" t="s">
        <v>54</v>
      </c>
      <c r="H103" s="3">
        <v>435</v>
      </c>
      <c r="I103" s="3">
        <v>90</v>
      </c>
      <c r="J103" s="3">
        <v>75</v>
      </c>
      <c r="K103" s="3">
        <v>0</v>
      </c>
      <c r="L103" s="3">
        <v>0</v>
      </c>
      <c r="M103" s="3">
        <v>0</v>
      </c>
      <c r="N103" s="3">
        <v>7</v>
      </c>
      <c r="O103" s="3">
        <v>0</v>
      </c>
      <c r="P103" s="3">
        <v>90</v>
      </c>
    </row>
    <row r="104" spans="1:16" x14ac:dyDescent="0.2">
      <c r="A104" t="s">
        <v>524</v>
      </c>
      <c r="B104" t="s">
        <v>525</v>
      </c>
      <c r="C104" t="s">
        <v>526</v>
      </c>
      <c r="D104" s="2">
        <v>1498677383674</v>
      </c>
      <c r="E104" t="s">
        <v>58</v>
      </c>
      <c r="F104" s="2">
        <v>1611716479611</v>
      </c>
      <c r="G104" t="s">
        <v>519</v>
      </c>
      <c r="H104" s="3">
        <v>387162</v>
      </c>
      <c r="I104" s="3">
        <v>819027</v>
      </c>
      <c r="J104" s="3">
        <v>5516</v>
      </c>
      <c r="K104" s="3">
        <v>0</v>
      </c>
      <c r="L104" s="3">
        <v>531</v>
      </c>
      <c r="M104" s="3">
        <v>12331</v>
      </c>
      <c r="N104" s="3">
        <v>1670</v>
      </c>
      <c r="O104" s="3">
        <v>7213</v>
      </c>
      <c r="P104" s="3">
        <v>2001464</v>
      </c>
    </row>
    <row r="105" spans="1:16" x14ac:dyDescent="0.2">
      <c r="A105" t="s">
        <v>758</v>
      </c>
      <c r="B105" t="s">
        <v>759</v>
      </c>
      <c r="C105" t="s">
        <v>760</v>
      </c>
      <c r="D105" s="2">
        <v>1554402441204</v>
      </c>
      <c r="E105" t="s">
        <v>761</v>
      </c>
      <c r="F105" s="2">
        <v>1619722988992</v>
      </c>
      <c r="G105" t="s">
        <v>257</v>
      </c>
      <c r="H105" s="3">
        <v>505755</v>
      </c>
      <c r="I105" s="3">
        <v>1195099</v>
      </c>
      <c r="J105" s="3">
        <v>471157</v>
      </c>
      <c r="K105" s="3">
        <v>0</v>
      </c>
      <c r="L105" s="3">
        <v>32921</v>
      </c>
      <c r="M105" s="3">
        <v>169149</v>
      </c>
      <c r="N105" s="3">
        <v>6698</v>
      </c>
      <c r="O105" s="3">
        <v>69485</v>
      </c>
      <c r="P105" s="3">
        <v>1710449</v>
      </c>
    </row>
    <row r="106" spans="1:16" x14ac:dyDescent="0.2">
      <c r="A106" t="s">
        <v>163</v>
      </c>
      <c r="B106" t="s">
        <v>164</v>
      </c>
      <c r="C106" t="s">
        <v>165</v>
      </c>
      <c r="D106" s="2">
        <v>1507643580449</v>
      </c>
      <c r="E106" t="s">
        <v>166</v>
      </c>
      <c r="F106" s="2">
        <v>1611716462608</v>
      </c>
      <c r="G106" t="s">
        <v>167</v>
      </c>
      <c r="H106" s="3">
        <v>27732</v>
      </c>
      <c r="I106" s="3">
        <v>33971</v>
      </c>
      <c r="J106" s="3">
        <v>45163</v>
      </c>
      <c r="K106" s="3">
        <v>24470</v>
      </c>
      <c r="L106" s="3">
        <v>1307</v>
      </c>
      <c r="M106" s="3">
        <v>95001</v>
      </c>
      <c r="N106" s="3">
        <v>13925</v>
      </c>
      <c r="O106" s="3">
        <v>10939</v>
      </c>
      <c r="P106" s="3">
        <v>39840</v>
      </c>
    </row>
    <row r="107" spans="1:16" x14ac:dyDescent="0.2">
      <c r="A107" t="s">
        <v>612</v>
      </c>
      <c r="B107" t="s">
        <v>613</v>
      </c>
      <c r="C107" t="s">
        <v>614</v>
      </c>
      <c r="D107" s="2">
        <v>1552319000130</v>
      </c>
      <c r="E107" t="s">
        <v>615</v>
      </c>
      <c r="F107" s="2">
        <v>1617637388161</v>
      </c>
      <c r="G107" t="s">
        <v>89</v>
      </c>
      <c r="H107" s="3">
        <v>68671</v>
      </c>
      <c r="I107" s="3">
        <v>134133</v>
      </c>
      <c r="J107" s="3">
        <v>134659</v>
      </c>
      <c r="K107" s="3">
        <v>0</v>
      </c>
      <c r="L107" s="3">
        <v>6274</v>
      </c>
      <c r="M107" s="3">
        <v>394003</v>
      </c>
      <c r="N107" s="3">
        <v>21437</v>
      </c>
      <c r="O107" s="3">
        <v>64276</v>
      </c>
      <c r="P107" s="3">
        <v>134129</v>
      </c>
    </row>
    <row r="108" spans="1:16" x14ac:dyDescent="0.2">
      <c r="A108" t="s">
        <v>482</v>
      </c>
      <c r="B108" t="s">
        <v>483</v>
      </c>
      <c r="C108" t="s">
        <v>484</v>
      </c>
      <c r="D108" s="2">
        <v>1474945391724</v>
      </c>
      <c r="E108" t="s">
        <v>485</v>
      </c>
      <c r="F108" s="2">
        <v>1615567286343</v>
      </c>
      <c r="G108" t="s">
        <v>35</v>
      </c>
      <c r="H108" s="3">
        <v>334294</v>
      </c>
      <c r="I108" s="3">
        <v>1606407</v>
      </c>
      <c r="J108" s="3">
        <v>262099</v>
      </c>
      <c r="K108" s="3">
        <v>0</v>
      </c>
      <c r="L108" s="3">
        <v>0</v>
      </c>
      <c r="M108" s="3">
        <v>0</v>
      </c>
      <c r="N108" s="3">
        <v>7058</v>
      </c>
      <c r="O108" s="3">
        <v>89243</v>
      </c>
      <c r="P108" s="3">
        <v>1978339</v>
      </c>
    </row>
    <row r="109" spans="1:16" x14ac:dyDescent="0.2">
      <c r="A109" t="s">
        <v>317</v>
      </c>
      <c r="B109" t="s">
        <v>318</v>
      </c>
      <c r="C109" t="s">
        <v>319</v>
      </c>
      <c r="D109" s="2">
        <v>1462824448085</v>
      </c>
      <c r="E109" t="s">
        <v>320</v>
      </c>
      <c r="F109" s="2">
        <v>1619791016714</v>
      </c>
      <c r="G109" t="s">
        <v>35</v>
      </c>
      <c r="H109" s="3">
        <v>1258714</v>
      </c>
      <c r="I109" s="3">
        <v>3224338</v>
      </c>
      <c r="J109" s="3">
        <v>957860</v>
      </c>
      <c r="K109" s="3">
        <v>0</v>
      </c>
      <c r="L109" s="3">
        <v>0</v>
      </c>
      <c r="M109" s="3">
        <v>0</v>
      </c>
      <c r="N109" s="3">
        <v>9580</v>
      </c>
      <c r="O109" s="3">
        <v>16005</v>
      </c>
      <c r="P109" s="3">
        <v>4823459</v>
      </c>
    </row>
    <row r="110" spans="1:16" x14ac:dyDescent="0.2">
      <c r="A110" t="s">
        <v>413</v>
      </c>
      <c r="B110" t="s">
        <v>414</v>
      </c>
      <c r="C110" t="s">
        <v>415</v>
      </c>
      <c r="D110" s="2">
        <v>1480507530292</v>
      </c>
      <c r="E110" t="s">
        <v>416</v>
      </c>
      <c r="F110" s="2">
        <v>1614705387814</v>
      </c>
      <c r="G110" t="s">
        <v>49</v>
      </c>
      <c r="H110" s="3">
        <v>64190</v>
      </c>
      <c r="I110" s="3">
        <v>88401</v>
      </c>
      <c r="J110" s="3">
        <v>77100</v>
      </c>
      <c r="K110" s="3">
        <v>0</v>
      </c>
      <c r="L110" s="3">
        <v>880</v>
      </c>
      <c r="M110" s="3">
        <v>138270</v>
      </c>
      <c r="N110" s="3">
        <v>4608</v>
      </c>
      <c r="O110" s="3">
        <v>18676</v>
      </c>
      <c r="P110" s="3">
        <v>88318</v>
      </c>
    </row>
    <row r="111" spans="1:16" x14ac:dyDescent="0.2">
      <c r="A111" t="s">
        <v>401</v>
      </c>
      <c r="B111" t="s">
        <v>402</v>
      </c>
      <c r="C111" t="s">
        <v>403</v>
      </c>
      <c r="D111" s="2">
        <v>1442500280066</v>
      </c>
      <c r="E111" t="s">
        <v>404</v>
      </c>
      <c r="F111" s="2">
        <v>1618947817987</v>
      </c>
      <c r="G111" t="s">
        <v>20</v>
      </c>
      <c r="H111" s="3">
        <v>763578</v>
      </c>
      <c r="I111" s="3">
        <v>4531437</v>
      </c>
      <c r="J111" s="3">
        <v>998932</v>
      </c>
      <c r="K111" s="3">
        <v>1</v>
      </c>
      <c r="L111" s="3">
        <v>8085</v>
      </c>
      <c r="M111" s="3">
        <v>279445</v>
      </c>
      <c r="N111" s="3">
        <v>31638</v>
      </c>
      <c r="O111" s="3">
        <v>79857</v>
      </c>
      <c r="P111" s="3">
        <v>5245162</v>
      </c>
    </row>
    <row r="112" spans="1:16" x14ac:dyDescent="0.2">
      <c r="A112" t="s">
        <v>313</v>
      </c>
      <c r="B112" t="s">
        <v>314</v>
      </c>
      <c r="C112" t="s">
        <v>315</v>
      </c>
      <c r="D112" s="2">
        <v>1462178230122</v>
      </c>
      <c r="E112" t="s">
        <v>316</v>
      </c>
      <c r="F112" s="2">
        <v>1619807703108</v>
      </c>
      <c r="G112" t="s">
        <v>114</v>
      </c>
      <c r="H112" s="3">
        <v>678305</v>
      </c>
      <c r="I112" s="3">
        <v>1379290</v>
      </c>
      <c r="J112" s="3">
        <v>1168093</v>
      </c>
      <c r="K112" s="3">
        <v>32070</v>
      </c>
      <c r="L112" s="3">
        <v>30614</v>
      </c>
      <c r="M112" s="3">
        <v>9288219</v>
      </c>
      <c r="N112" s="3">
        <v>17627</v>
      </c>
      <c r="O112" s="3">
        <v>15064</v>
      </c>
      <c r="P112" s="3">
        <v>1392980</v>
      </c>
    </row>
    <row r="113" spans="1:16" x14ac:dyDescent="0.2">
      <c r="A113" t="s">
        <v>817</v>
      </c>
      <c r="B113" t="s">
        <v>818</v>
      </c>
      <c r="C113" t="s">
        <v>819</v>
      </c>
      <c r="D113" s="2">
        <v>1593461431240</v>
      </c>
      <c r="E113" t="s">
        <v>820</v>
      </c>
      <c r="F113" s="2">
        <v>1608206075330</v>
      </c>
      <c r="H113" s="3">
        <v>10785</v>
      </c>
      <c r="I113" s="3">
        <v>15583</v>
      </c>
      <c r="J113" s="3">
        <v>10458</v>
      </c>
      <c r="K113" s="3">
        <v>0</v>
      </c>
      <c r="L113" s="3">
        <v>3088</v>
      </c>
      <c r="M113" s="3">
        <v>16313</v>
      </c>
      <c r="N113" s="3">
        <v>1687</v>
      </c>
      <c r="O113" s="3">
        <v>10434</v>
      </c>
      <c r="P113" s="3">
        <v>15583</v>
      </c>
    </row>
    <row r="114" spans="1:16" x14ac:dyDescent="0.2">
      <c r="A114" t="s">
        <v>308</v>
      </c>
      <c r="B114" t="s">
        <v>309</v>
      </c>
      <c r="C114" t="s">
        <v>310</v>
      </c>
      <c r="D114" s="2">
        <v>1435766428004</v>
      </c>
      <c r="E114" t="s">
        <v>311</v>
      </c>
      <c r="F114" s="2">
        <v>1615565273878</v>
      </c>
      <c r="G114" t="s">
        <v>312</v>
      </c>
      <c r="H114" s="3">
        <v>70530</v>
      </c>
      <c r="I114" s="3">
        <v>340253</v>
      </c>
      <c r="J114" s="3">
        <v>94245</v>
      </c>
      <c r="K114" s="3">
        <v>8</v>
      </c>
      <c r="L114" s="3">
        <v>2220</v>
      </c>
      <c r="M114" s="3">
        <v>264069</v>
      </c>
      <c r="N114" s="3">
        <v>6543</v>
      </c>
      <c r="O114" s="3">
        <v>12188</v>
      </c>
      <c r="P114" s="3">
        <v>342160</v>
      </c>
    </row>
    <row r="115" spans="1:16" x14ac:dyDescent="0.2">
      <c r="A115" s="1" t="s">
        <v>727</v>
      </c>
      <c r="B115" t="s">
        <v>728</v>
      </c>
      <c r="C115" t="s">
        <v>729</v>
      </c>
      <c r="D115" s="2">
        <v>1581458396559</v>
      </c>
      <c r="E115" t="s">
        <v>730</v>
      </c>
      <c r="F115" s="2">
        <v>1619470532805</v>
      </c>
      <c r="G115" t="s">
        <v>25</v>
      </c>
      <c r="H115" s="3">
        <v>92757</v>
      </c>
      <c r="I115" s="3">
        <v>220635</v>
      </c>
      <c r="J115" s="3">
        <v>209808</v>
      </c>
      <c r="K115" s="3">
        <v>0</v>
      </c>
      <c r="L115" s="3">
        <v>26399</v>
      </c>
      <c r="M115" s="3">
        <v>669536</v>
      </c>
      <c r="N115" s="3">
        <v>172960</v>
      </c>
      <c r="O115" s="3">
        <v>168293</v>
      </c>
      <c r="P115" s="3">
        <v>220688</v>
      </c>
    </row>
    <row r="116" spans="1:16" x14ac:dyDescent="0.2">
      <c r="A116" t="s">
        <v>239</v>
      </c>
      <c r="B116" t="s">
        <v>240</v>
      </c>
      <c r="C116" t="s">
        <v>241</v>
      </c>
      <c r="D116" s="2">
        <v>1508795675816</v>
      </c>
      <c r="E116" t="s">
        <v>242</v>
      </c>
      <c r="F116" s="2">
        <v>1616174125562</v>
      </c>
      <c r="G116" t="s">
        <v>35</v>
      </c>
      <c r="H116" s="3">
        <v>358662</v>
      </c>
      <c r="I116" s="3">
        <v>1501262</v>
      </c>
      <c r="J116" s="3">
        <v>198512</v>
      </c>
      <c r="K116" s="3">
        <v>0</v>
      </c>
      <c r="L116" s="3">
        <v>0</v>
      </c>
      <c r="M116" s="3">
        <v>0</v>
      </c>
      <c r="N116" s="3">
        <v>6632</v>
      </c>
      <c r="O116" s="3">
        <v>4603</v>
      </c>
      <c r="P116" s="3">
        <v>1945814</v>
      </c>
    </row>
    <row r="117" spans="1:16" x14ac:dyDescent="0.2">
      <c r="A117" t="s">
        <v>494</v>
      </c>
      <c r="B117" t="s">
        <v>495</v>
      </c>
      <c r="C117" t="s">
        <v>496</v>
      </c>
      <c r="D117" s="2">
        <v>1423058215897</v>
      </c>
      <c r="E117" t="s">
        <v>497</v>
      </c>
      <c r="F117" s="2">
        <v>1615839393961</v>
      </c>
      <c r="G117" t="s">
        <v>25</v>
      </c>
      <c r="H117" s="3">
        <v>139476</v>
      </c>
      <c r="I117" s="3">
        <v>801950</v>
      </c>
      <c r="J117" s="3">
        <v>37028</v>
      </c>
      <c r="K117" s="3">
        <v>0</v>
      </c>
      <c r="L117" s="3">
        <v>30</v>
      </c>
      <c r="M117" s="3">
        <v>89370</v>
      </c>
      <c r="N117" s="3">
        <v>6979</v>
      </c>
      <c r="O117" s="3">
        <v>3294</v>
      </c>
      <c r="P117" s="3">
        <v>805466</v>
      </c>
    </row>
    <row r="118" spans="1:16" x14ac:dyDescent="0.2">
      <c r="A118" t="s">
        <v>537</v>
      </c>
      <c r="B118" t="s">
        <v>538</v>
      </c>
      <c r="C118" t="s">
        <v>539</v>
      </c>
      <c r="D118" s="2">
        <v>1527707488867</v>
      </c>
      <c r="E118" t="s">
        <v>540</v>
      </c>
      <c r="F118" s="2">
        <v>1616785234421</v>
      </c>
      <c r="G118" t="s">
        <v>59</v>
      </c>
      <c r="H118" s="3">
        <v>167167</v>
      </c>
      <c r="I118" s="3">
        <v>264477</v>
      </c>
      <c r="J118" s="3">
        <v>2714</v>
      </c>
      <c r="K118" s="3">
        <v>0</v>
      </c>
      <c r="L118" s="3">
        <v>0</v>
      </c>
      <c r="M118" s="3">
        <v>0</v>
      </c>
      <c r="N118" s="3">
        <v>505</v>
      </c>
      <c r="O118" s="3">
        <v>0</v>
      </c>
      <c r="P118" s="3">
        <v>331035</v>
      </c>
    </row>
    <row r="119" spans="1:16" x14ac:dyDescent="0.2">
      <c r="A119" t="s">
        <v>104</v>
      </c>
      <c r="B119" t="s">
        <v>105</v>
      </c>
      <c r="C119" t="s">
        <v>106</v>
      </c>
      <c r="D119" s="2">
        <v>1494957197234</v>
      </c>
      <c r="E119" t="s">
        <v>58</v>
      </c>
      <c r="F119" s="2">
        <v>1611716479559</v>
      </c>
      <c r="G119" t="s">
        <v>59</v>
      </c>
      <c r="H119" s="3">
        <v>228461</v>
      </c>
      <c r="I119" s="3">
        <v>2106119</v>
      </c>
      <c r="J119" s="3">
        <v>73381</v>
      </c>
      <c r="K119" s="3">
        <v>47</v>
      </c>
      <c r="L119" s="3">
        <v>0</v>
      </c>
      <c r="M119" s="3">
        <v>0</v>
      </c>
      <c r="N119" s="3">
        <v>169</v>
      </c>
      <c r="O119" s="3">
        <v>1894</v>
      </c>
      <c r="P119" s="3">
        <v>2276054</v>
      </c>
    </row>
    <row r="120" spans="1:16" x14ac:dyDescent="0.2">
      <c r="A120" t="s">
        <v>498</v>
      </c>
      <c r="B120" t="s">
        <v>499</v>
      </c>
      <c r="C120" t="s">
        <v>500</v>
      </c>
      <c r="D120" s="2">
        <v>1426546254233</v>
      </c>
      <c r="E120" t="s">
        <v>501</v>
      </c>
      <c r="F120" s="2">
        <v>1619064045243</v>
      </c>
      <c r="G120" t="s">
        <v>185</v>
      </c>
      <c r="H120" s="3">
        <v>89859</v>
      </c>
      <c r="I120" s="3">
        <v>170294</v>
      </c>
      <c r="J120" s="3">
        <v>131492</v>
      </c>
      <c r="K120" s="3">
        <v>0</v>
      </c>
      <c r="L120" s="3">
        <v>4910</v>
      </c>
      <c r="M120" s="3">
        <v>354344</v>
      </c>
      <c r="N120" s="3">
        <v>10251</v>
      </c>
      <c r="O120" s="3">
        <v>25415</v>
      </c>
      <c r="P120" s="3">
        <v>219462</v>
      </c>
    </row>
    <row r="121" spans="1:16" x14ac:dyDescent="0.2">
      <c r="A121" t="s">
        <v>821</v>
      </c>
      <c r="B121" t="s">
        <v>822</v>
      </c>
      <c r="C121" t="s">
        <v>823</v>
      </c>
      <c r="D121" s="2">
        <v>1598898626964</v>
      </c>
      <c r="E121" t="s">
        <v>824</v>
      </c>
      <c r="F121" s="2">
        <v>1617732296070</v>
      </c>
      <c r="H121" s="3">
        <v>62335</v>
      </c>
      <c r="I121" s="3">
        <v>437311</v>
      </c>
      <c r="J121" s="3">
        <v>344242</v>
      </c>
      <c r="K121" s="3">
        <v>0</v>
      </c>
      <c r="L121" s="3">
        <v>60702</v>
      </c>
      <c r="M121" s="3">
        <v>408706</v>
      </c>
      <c r="N121" s="3">
        <v>0</v>
      </c>
      <c r="O121" s="3">
        <v>283467</v>
      </c>
      <c r="P121" s="3">
        <v>443810</v>
      </c>
    </row>
    <row r="122" spans="1:16" x14ac:dyDescent="0.2">
      <c r="A122" t="s">
        <v>550</v>
      </c>
      <c r="B122" t="s">
        <v>551</v>
      </c>
      <c r="C122" t="s">
        <v>552</v>
      </c>
      <c r="D122" s="2">
        <v>1457967666359</v>
      </c>
      <c r="E122" t="s">
        <v>553</v>
      </c>
      <c r="F122" s="2">
        <v>1608044319285</v>
      </c>
      <c r="G122" t="s">
        <v>68</v>
      </c>
      <c r="H122" s="3">
        <v>4</v>
      </c>
      <c r="I122" s="3">
        <v>4</v>
      </c>
      <c r="J122" s="3">
        <v>12</v>
      </c>
      <c r="K122" s="3">
        <v>0</v>
      </c>
      <c r="L122" s="3">
        <v>0</v>
      </c>
      <c r="M122" s="3">
        <v>31</v>
      </c>
      <c r="N122" s="3">
        <v>3</v>
      </c>
      <c r="O122" s="3">
        <v>0</v>
      </c>
      <c r="P122" s="3">
        <v>4</v>
      </c>
    </row>
    <row r="123" spans="1:16" x14ac:dyDescent="0.2">
      <c r="A123" t="s">
        <v>507</v>
      </c>
      <c r="B123" t="s">
        <v>508</v>
      </c>
      <c r="C123" t="s">
        <v>509</v>
      </c>
      <c r="D123" s="2">
        <v>1366664743664</v>
      </c>
      <c r="E123" t="s">
        <v>510</v>
      </c>
      <c r="F123" s="2">
        <v>1617389984785</v>
      </c>
      <c r="G123" t="s">
        <v>20</v>
      </c>
      <c r="H123" s="3">
        <v>3564711</v>
      </c>
      <c r="I123" s="3">
        <v>11482516</v>
      </c>
      <c r="J123" s="3">
        <v>619174</v>
      </c>
      <c r="K123" s="3">
        <v>3</v>
      </c>
      <c r="L123" s="3">
        <v>2728</v>
      </c>
      <c r="M123" s="3">
        <v>302346</v>
      </c>
      <c r="N123" s="3">
        <v>31249</v>
      </c>
      <c r="O123" s="3">
        <v>92929</v>
      </c>
      <c r="P123" s="3">
        <v>14516138</v>
      </c>
    </row>
    <row r="124" spans="1:16" x14ac:dyDescent="0.2">
      <c r="A124" t="s">
        <v>558</v>
      </c>
      <c r="B124" t="s">
        <v>559</v>
      </c>
      <c r="C124" t="s">
        <v>560</v>
      </c>
      <c r="D124" s="2">
        <v>1471295276837</v>
      </c>
      <c r="E124" t="s">
        <v>561</v>
      </c>
      <c r="F124" s="2">
        <v>1615236910910</v>
      </c>
      <c r="G124" t="s">
        <v>68</v>
      </c>
      <c r="H124" s="3">
        <v>15343</v>
      </c>
      <c r="I124" s="3">
        <v>23384</v>
      </c>
      <c r="J124" s="3">
        <v>16961</v>
      </c>
      <c r="K124" s="3">
        <v>0</v>
      </c>
      <c r="L124" s="3">
        <v>1431</v>
      </c>
      <c r="M124" s="3">
        <v>42257</v>
      </c>
      <c r="N124" s="3">
        <v>1840</v>
      </c>
      <c r="O124" s="3">
        <v>5700</v>
      </c>
      <c r="P124" s="3">
        <v>23414</v>
      </c>
    </row>
    <row r="125" spans="1:16" x14ac:dyDescent="0.2">
      <c r="A125" t="s">
        <v>289</v>
      </c>
      <c r="B125" t="s">
        <v>290</v>
      </c>
      <c r="C125" t="s">
        <v>291</v>
      </c>
      <c r="D125" s="2">
        <v>1510941396396</v>
      </c>
      <c r="E125" t="s">
        <v>292</v>
      </c>
      <c r="F125" s="2">
        <v>1619545569796</v>
      </c>
      <c r="G125" t="s">
        <v>293</v>
      </c>
      <c r="H125" s="3">
        <v>198740</v>
      </c>
      <c r="I125" s="3">
        <v>783879</v>
      </c>
      <c r="J125" s="3">
        <v>511184</v>
      </c>
      <c r="K125" s="3">
        <v>40613</v>
      </c>
      <c r="L125" s="3">
        <v>29660</v>
      </c>
      <c r="M125" s="3">
        <v>2109946</v>
      </c>
      <c r="N125" s="3">
        <v>376637</v>
      </c>
      <c r="O125" s="3">
        <v>421979</v>
      </c>
      <c r="P125" s="3">
        <v>784385</v>
      </c>
    </row>
    <row r="126" spans="1:16" x14ac:dyDescent="0.2">
      <c r="A126" t="s">
        <v>393</v>
      </c>
      <c r="B126" t="s">
        <v>394</v>
      </c>
      <c r="C126" t="s">
        <v>395</v>
      </c>
      <c r="D126" s="2">
        <v>1371587929840</v>
      </c>
      <c r="E126" t="s">
        <v>396</v>
      </c>
      <c r="F126" s="2">
        <v>1619788015310</v>
      </c>
      <c r="G126" t="s">
        <v>212</v>
      </c>
      <c r="H126" s="3">
        <v>4960466</v>
      </c>
      <c r="I126" s="3">
        <v>16700282</v>
      </c>
      <c r="J126" s="3">
        <v>2652586</v>
      </c>
      <c r="K126" s="3">
        <v>1</v>
      </c>
      <c r="L126" s="3">
        <v>4428</v>
      </c>
      <c r="M126" s="3">
        <v>432993</v>
      </c>
      <c r="N126" s="3">
        <v>120614</v>
      </c>
      <c r="O126" s="3">
        <v>148818</v>
      </c>
      <c r="P126" s="3">
        <v>20670345</v>
      </c>
    </row>
    <row r="127" spans="1:16" x14ac:dyDescent="0.2">
      <c r="A127" t="s">
        <v>140</v>
      </c>
      <c r="B127" t="s">
        <v>141</v>
      </c>
      <c r="C127" t="s">
        <v>142</v>
      </c>
      <c r="D127" s="2">
        <v>1464796973526</v>
      </c>
      <c r="E127" t="s">
        <v>143</v>
      </c>
      <c r="F127" s="2">
        <v>1608044340433</v>
      </c>
      <c r="G127" t="s">
        <v>144</v>
      </c>
      <c r="H127" s="3">
        <v>0</v>
      </c>
      <c r="I127" s="3">
        <v>0</v>
      </c>
      <c r="J127" s="3">
        <v>0</v>
      </c>
      <c r="K127" s="3">
        <v>0</v>
      </c>
      <c r="L127" s="3">
        <v>0</v>
      </c>
      <c r="M127" s="3">
        <v>0</v>
      </c>
      <c r="N127" s="3">
        <v>0</v>
      </c>
      <c r="O127" s="3">
        <v>0</v>
      </c>
      <c r="P127" s="3">
        <v>0</v>
      </c>
    </row>
    <row r="128" spans="1:16" x14ac:dyDescent="0.2">
      <c r="A128" t="s">
        <v>833</v>
      </c>
      <c r="B128" t="s">
        <v>834</v>
      </c>
      <c r="C128" t="s">
        <v>835</v>
      </c>
      <c r="D128" s="2">
        <v>1600977543489</v>
      </c>
      <c r="E128" t="s">
        <v>836</v>
      </c>
      <c r="F128" s="2">
        <v>1600977816938</v>
      </c>
      <c r="H128" s="3">
        <v>1</v>
      </c>
      <c r="I128" s="3">
        <v>1</v>
      </c>
      <c r="J128" s="3">
        <v>1</v>
      </c>
      <c r="K128" s="3">
        <v>0</v>
      </c>
      <c r="L128" s="3">
        <v>0</v>
      </c>
      <c r="M128" s="3">
        <v>1</v>
      </c>
      <c r="N128" s="3">
        <v>0</v>
      </c>
      <c r="O128" s="3">
        <v>1</v>
      </c>
      <c r="P128" s="3">
        <v>0</v>
      </c>
    </row>
    <row r="129" spans="1:16" x14ac:dyDescent="0.2">
      <c r="A129" t="s">
        <v>379</v>
      </c>
      <c r="B129" t="s">
        <v>380</v>
      </c>
      <c r="C129" t="s">
        <v>381</v>
      </c>
      <c r="D129" s="2">
        <v>1530797863932</v>
      </c>
      <c r="E129" t="s">
        <v>382</v>
      </c>
      <c r="F129" s="2">
        <v>1618509264491</v>
      </c>
      <c r="G129" t="s">
        <v>383</v>
      </c>
      <c r="H129" s="3">
        <v>864896</v>
      </c>
      <c r="I129" s="3">
        <v>2798353</v>
      </c>
      <c r="J129" s="3">
        <v>364502</v>
      </c>
      <c r="K129" s="3">
        <v>0</v>
      </c>
      <c r="L129" s="3">
        <v>12890</v>
      </c>
      <c r="M129" s="3">
        <v>766477</v>
      </c>
      <c r="N129" s="3">
        <v>44880</v>
      </c>
      <c r="O129" s="3">
        <v>24177</v>
      </c>
      <c r="P129" s="3">
        <v>3389997</v>
      </c>
    </row>
    <row r="130" spans="1:16" x14ac:dyDescent="0.2">
      <c r="A130" t="s">
        <v>731</v>
      </c>
      <c r="B130" t="s">
        <v>732</v>
      </c>
      <c r="C130" t="s">
        <v>733</v>
      </c>
      <c r="D130" s="2">
        <v>1595338769470</v>
      </c>
      <c r="E130" t="s">
        <v>734</v>
      </c>
      <c r="F130" s="2">
        <v>1619457908328</v>
      </c>
      <c r="G130" t="s">
        <v>25</v>
      </c>
      <c r="H130" s="3">
        <v>836</v>
      </c>
      <c r="I130" s="3">
        <v>1000</v>
      </c>
      <c r="J130" s="3">
        <v>961</v>
      </c>
      <c r="K130" s="3">
        <v>0</v>
      </c>
      <c r="L130" s="3">
        <v>88</v>
      </c>
      <c r="M130" s="3">
        <v>1671</v>
      </c>
      <c r="N130" s="3">
        <v>261</v>
      </c>
      <c r="O130" s="3">
        <v>1044</v>
      </c>
      <c r="P130" s="3">
        <v>1016</v>
      </c>
    </row>
    <row r="131" spans="1:16" x14ac:dyDescent="0.2">
      <c r="A131" t="s">
        <v>325</v>
      </c>
      <c r="B131" t="s">
        <v>326</v>
      </c>
      <c r="C131" t="s">
        <v>327</v>
      </c>
      <c r="D131" s="2">
        <v>1525973012640</v>
      </c>
      <c r="E131" t="s">
        <v>328</v>
      </c>
      <c r="F131" s="2">
        <v>1616008797823</v>
      </c>
      <c r="G131" t="s">
        <v>59</v>
      </c>
      <c r="H131" s="3">
        <v>70723</v>
      </c>
      <c r="I131" s="3">
        <v>203568</v>
      </c>
      <c r="J131" s="3">
        <v>131009</v>
      </c>
      <c r="K131" s="3">
        <v>0</v>
      </c>
      <c r="L131" s="3">
        <v>0</v>
      </c>
      <c r="M131" s="3">
        <v>0</v>
      </c>
      <c r="N131" s="3">
        <v>0</v>
      </c>
      <c r="O131" s="3">
        <v>5</v>
      </c>
      <c r="P131" s="3">
        <v>270042</v>
      </c>
    </row>
    <row r="132" spans="1:16" x14ac:dyDescent="0.2">
      <c r="A132" t="s">
        <v>248</v>
      </c>
      <c r="B132" t="s">
        <v>249</v>
      </c>
      <c r="C132" t="s">
        <v>250</v>
      </c>
      <c r="D132" s="2">
        <v>1527182670369</v>
      </c>
      <c r="E132" t="s">
        <v>251</v>
      </c>
      <c r="F132" s="2">
        <v>1612233047015</v>
      </c>
      <c r="G132" t="s">
        <v>252</v>
      </c>
      <c r="H132" s="3">
        <v>11484</v>
      </c>
      <c r="I132" s="3">
        <v>11976</v>
      </c>
      <c r="J132" s="3">
        <v>6460</v>
      </c>
      <c r="K132" s="3">
        <v>0</v>
      </c>
      <c r="L132" s="3">
        <v>3</v>
      </c>
      <c r="M132" s="3">
        <v>7597</v>
      </c>
      <c r="N132" s="3">
        <v>233</v>
      </c>
      <c r="O132" s="3">
        <v>6522</v>
      </c>
      <c r="P132" s="3">
        <v>12012</v>
      </c>
    </row>
    <row r="133" spans="1:16" x14ac:dyDescent="0.2">
      <c r="A133" t="s">
        <v>586</v>
      </c>
      <c r="B133" t="s">
        <v>587</v>
      </c>
      <c r="C133" t="s">
        <v>588</v>
      </c>
      <c r="D133" s="2">
        <v>1544633369882</v>
      </c>
      <c r="E133" t="s">
        <v>589</v>
      </c>
      <c r="F133" s="2">
        <v>1619816810538</v>
      </c>
      <c r="G133" t="s">
        <v>590</v>
      </c>
      <c r="H133" s="3">
        <v>483351</v>
      </c>
      <c r="I133" s="3">
        <v>1519377</v>
      </c>
      <c r="J133" s="3">
        <v>55572</v>
      </c>
      <c r="K133" s="3">
        <v>0</v>
      </c>
      <c r="L133" s="3">
        <v>479</v>
      </c>
      <c r="M133" s="3">
        <v>116815</v>
      </c>
      <c r="N133" s="3">
        <v>1553</v>
      </c>
      <c r="O133" s="3">
        <v>53760</v>
      </c>
      <c r="P133" s="3">
        <v>1597911</v>
      </c>
    </row>
    <row r="134" spans="1:16" x14ac:dyDescent="0.2">
      <c r="A134" t="s">
        <v>370</v>
      </c>
      <c r="B134" t="s">
        <v>371</v>
      </c>
      <c r="C134" t="s">
        <v>372</v>
      </c>
      <c r="D134" s="2">
        <v>1471358732464</v>
      </c>
      <c r="E134" t="s">
        <v>373</v>
      </c>
      <c r="F134" s="2">
        <v>1617736778724</v>
      </c>
      <c r="G134" t="s">
        <v>68</v>
      </c>
      <c r="H134" s="3">
        <v>15209</v>
      </c>
      <c r="I134" s="3">
        <v>25093</v>
      </c>
      <c r="J134" s="3">
        <v>12792</v>
      </c>
      <c r="K134" s="3">
        <v>0</v>
      </c>
      <c r="L134" s="3">
        <v>70</v>
      </c>
      <c r="M134" s="3">
        <v>30856</v>
      </c>
      <c r="N134" s="3">
        <v>1773</v>
      </c>
      <c r="O134" s="3">
        <v>1485</v>
      </c>
      <c r="P134" s="3">
        <v>25082</v>
      </c>
    </row>
    <row r="135" spans="1:16" x14ac:dyDescent="0.2">
      <c r="A135" t="s">
        <v>186</v>
      </c>
      <c r="B135" t="s">
        <v>187</v>
      </c>
      <c r="C135" t="s">
        <v>188</v>
      </c>
      <c r="D135" s="2">
        <v>1434408833214</v>
      </c>
      <c r="E135" t="s">
        <v>189</v>
      </c>
      <c r="F135" s="2">
        <v>1618498979688</v>
      </c>
      <c r="G135" t="s">
        <v>59</v>
      </c>
      <c r="H135" s="3">
        <v>342256</v>
      </c>
      <c r="I135" s="3">
        <v>587986</v>
      </c>
      <c r="J135" s="3">
        <v>398779</v>
      </c>
      <c r="K135" s="3">
        <v>0</v>
      </c>
      <c r="L135" s="3">
        <v>15711</v>
      </c>
      <c r="M135" s="3">
        <v>694999</v>
      </c>
      <c r="N135" s="3">
        <v>23400</v>
      </c>
      <c r="O135" s="3">
        <v>60977</v>
      </c>
      <c r="P135" s="3">
        <v>864100</v>
      </c>
    </row>
    <row r="136" spans="1:16" x14ac:dyDescent="0.2">
      <c r="A136" t="s">
        <v>266</v>
      </c>
      <c r="B136" t="s">
        <v>267</v>
      </c>
      <c r="C136" t="s">
        <v>268</v>
      </c>
      <c r="D136" s="2">
        <v>1366665854842</v>
      </c>
      <c r="E136" t="s">
        <v>269</v>
      </c>
      <c r="F136" s="2">
        <v>1619806984718</v>
      </c>
      <c r="G136" t="s">
        <v>68</v>
      </c>
      <c r="H136" s="3">
        <v>559723</v>
      </c>
      <c r="I136" s="3">
        <v>1422920</v>
      </c>
      <c r="J136" s="3">
        <v>273543</v>
      </c>
      <c r="K136" s="3">
        <v>0</v>
      </c>
      <c r="L136" s="3">
        <v>6093</v>
      </c>
      <c r="M136" s="3">
        <v>696092</v>
      </c>
      <c r="N136" s="3">
        <v>52192</v>
      </c>
      <c r="O136" s="3">
        <v>33105</v>
      </c>
      <c r="P136" s="3">
        <v>1423565</v>
      </c>
    </row>
    <row r="137" spans="1:16" x14ac:dyDescent="0.2">
      <c r="A137" t="s">
        <v>155</v>
      </c>
      <c r="B137" t="s">
        <v>156</v>
      </c>
      <c r="C137" t="s">
        <v>157</v>
      </c>
      <c r="D137" s="2">
        <v>1495118733562</v>
      </c>
      <c r="E137" t="s">
        <v>158</v>
      </c>
      <c r="F137" s="2">
        <v>1617736757810</v>
      </c>
      <c r="G137" t="s">
        <v>25</v>
      </c>
      <c r="H137" s="3">
        <v>109243</v>
      </c>
      <c r="I137" s="3">
        <v>244332</v>
      </c>
      <c r="J137" s="3">
        <v>367141</v>
      </c>
      <c r="K137" s="3">
        <v>0</v>
      </c>
      <c r="L137" s="3">
        <v>17442</v>
      </c>
      <c r="M137" s="3">
        <v>1694336</v>
      </c>
      <c r="N137" s="3">
        <v>35748</v>
      </c>
      <c r="O137" s="3">
        <v>54062</v>
      </c>
      <c r="P137" s="3">
        <v>244552</v>
      </c>
    </row>
    <row r="138" spans="1:16" x14ac:dyDescent="0.2">
      <c r="A138" t="s">
        <v>642</v>
      </c>
      <c r="B138" t="s">
        <v>643</v>
      </c>
      <c r="C138" t="s">
        <v>644</v>
      </c>
      <c r="D138" s="2">
        <v>1570138339014</v>
      </c>
      <c r="E138" t="s">
        <v>645</v>
      </c>
      <c r="F138" s="2">
        <v>1614960177738</v>
      </c>
      <c r="G138" t="s">
        <v>646</v>
      </c>
      <c r="H138" s="3">
        <v>55118</v>
      </c>
      <c r="I138" s="3">
        <v>314534</v>
      </c>
      <c r="J138" s="3">
        <v>206944</v>
      </c>
      <c r="K138" s="3">
        <v>0</v>
      </c>
      <c r="L138" s="3">
        <v>43855</v>
      </c>
      <c r="M138" s="3">
        <v>625404</v>
      </c>
      <c r="N138" s="3">
        <v>52434</v>
      </c>
      <c r="O138" s="3">
        <v>171812</v>
      </c>
      <c r="P138" s="3">
        <v>314597</v>
      </c>
    </row>
    <row r="139" spans="1:16" x14ac:dyDescent="0.2">
      <c r="A139" t="s">
        <v>808</v>
      </c>
      <c r="B139" t="s">
        <v>809</v>
      </c>
      <c r="C139" t="s">
        <v>810</v>
      </c>
      <c r="D139" s="2">
        <v>1575575898409</v>
      </c>
      <c r="E139" t="s">
        <v>811</v>
      </c>
      <c r="F139" s="2">
        <v>1619811575653</v>
      </c>
      <c r="G139" t="s">
        <v>59</v>
      </c>
      <c r="H139" s="3">
        <v>281777</v>
      </c>
      <c r="I139" s="3">
        <v>840533</v>
      </c>
      <c r="J139" s="3">
        <v>45864</v>
      </c>
      <c r="K139" s="3">
        <v>0</v>
      </c>
      <c r="L139" s="3">
        <v>0</v>
      </c>
      <c r="M139" s="3">
        <v>0</v>
      </c>
      <c r="N139" s="3">
        <v>567</v>
      </c>
      <c r="O139" s="3">
        <v>0</v>
      </c>
      <c r="P139" s="3">
        <v>1230809</v>
      </c>
    </row>
    <row r="140" spans="1:16" x14ac:dyDescent="0.2">
      <c r="A140" t="s">
        <v>213</v>
      </c>
      <c r="B140" t="s">
        <v>214</v>
      </c>
      <c r="C140" t="s">
        <v>215</v>
      </c>
      <c r="D140" s="2">
        <v>1519668895769</v>
      </c>
      <c r="E140" t="s">
        <v>216</v>
      </c>
      <c r="F140" s="2">
        <v>1611716484095</v>
      </c>
      <c r="G140" t="s">
        <v>217</v>
      </c>
      <c r="H140" s="3">
        <v>98516</v>
      </c>
      <c r="I140" s="3">
        <v>689397</v>
      </c>
      <c r="J140" s="3">
        <v>395069</v>
      </c>
      <c r="K140" s="3">
        <v>0</v>
      </c>
      <c r="L140" s="3">
        <v>35051</v>
      </c>
      <c r="M140" s="3">
        <v>536435</v>
      </c>
      <c r="N140" s="3">
        <v>133017</v>
      </c>
      <c r="O140" s="3">
        <v>141281</v>
      </c>
      <c r="P140" s="3">
        <v>103533</v>
      </c>
    </row>
    <row r="141" spans="1:16" x14ac:dyDescent="0.2">
      <c r="A141" t="s">
        <v>262</v>
      </c>
      <c r="B141" t="s">
        <v>263</v>
      </c>
      <c r="C141" t="s">
        <v>264</v>
      </c>
      <c r="D141" s="2">
        <v>1370450372441</v>
      </c>
      <c r="E141" t="s">
        <v>265</v>
      </c>
      <c r="F141" s="2">
        <v>1608044282243</v>
      </c>
      <c r="G141" t="s">
        <v>185</v>
      </c>
      <c r="H141" s="3">
        <v>124172</v>
      </c>
      <c r="I141" s="3">
        <v>263731</v>
      </c>
      <c r="J141" s="3">
        <v>83490</v>
      </c>
      <c r="K141" s="3">
        <v>0</v>
      </c>
      <c r="L141" s="3">
        <v>0</v>
      </c>
      <c r="M141" s="3">
        <v>5687</v>
      </c>
      <c r="N141" s="3">
        <v>31997</v>
      </c>
      <c r="O141" s="3">
        <v>0</v>
      </c>
      <c r="P141" s="3">
        <v>330497</v>
      </c>
    </row>
    <row r="142" spans="1:16" x14ac:dyDescent="0.2">
      <c r="A142" t="s">
        <v>77</v>
      </c>
      <c r="B142" t="s">
        <v>78</v>
      </c>
      <c r="C142" t="s">
        <v>79</v>
      </c>
      <c r="D142" s="2">
        <v>1370388045654</v>
      </c>
      <c r="E142" t="s">
        <v>80</v>
      </c>
      <c r="F142" s="2">
        <v>1611716459828</v>
      </c>
      <c r="G142" t="s">
        <v>81</v>
      </c>
      <c r="H142" s="3">
        <v>221067</v>
      </c>
      <c r="I142" s="3">
        <v>635287</v>
      </c>
      <c r="J142" s="3">
        <v>402885</v>
      </c>
      <c r="K142" s="3">
        <v>2</v>
      </c>
      <c r="L142" s="3">
        <v>13</v>
      </c>
      <c r="M142" s="3">
        <v>854061</v>
      </c>
      <c r="N142" s="3">
        <v>26654</v>
      </c>
      <c r="O142" s="3">
        <v>0</v>
      </c>
      <c r="P142" s="3">
        <v>976962</v>
      </c>
    </row>
    <row r="143" spans="1:16" x14ac:dyDescent="0.2">
      <c r="A143" t="s">
        <v>181</v>
      </c>
      <c r="B143" t="s">
        <v>182</v>
      </c>
      <c r="C143" t="s">
        <v>183</v>
      </c>
      <c r="D143" s="2">
        <v>1370373509366</v>
      </c>
      <c r="E143" t="s">
        <v>184</v>
      </c>
      <c r="F143" s="2">
        <v>1608044013254</v>
      </c>
      <c r="G143" t="s">
        <v>185</v>
      </c>
      <c r="H143" s="3">
        <v>230968</v>
      </c>
      <c r="I143" s="3">
        <v>856433</v>
      </c>
      <c r="J143" s="3">
        <v>252138</v>
      </c>
      <c r="K143" s="3">
        <v>5</v>
      </c>
      <c r="L143" s="3">
        <v>17</v>
      </c>
      <c r="M143" s="3">
        <v>382075</v>
      </c>
      <c r="N143" s="3">
        <v>94178</v>
      </c>
      <c r="O143" s="3">
        <v>0</v>
      </c>
      <c r="P143" s="3">
        <v>1363003</v>
      </c>
    </row>
    <row r="144" spans="1:16" x14ac:dyDescent="0.2">
      <c r="A144" t="s">
        <v>131</v>
      </c>
      <c r="B144" t="s">
        <v>132</v>
      </c>
      <c r="C144" t="s">
        <v>133</v>
      </c>
      <c r="D144" s="2">
        <v>1370273658044</v>
      </c>
      <c r="E144" t="s">
        <v>134</v>
      </c>
      <c r="F144" s="2">
        <v>1608044276371</v>
      </c>
      <c r="G144" t="s">
        <v>68</v>
      </c>
      <c r="H144" s="3">
        <v>10355</v>
      </c>
      <c r="I144" s="3">
        <v>16519</v>
      </c>
      <c r="J144" s="3">
        <v>15998</v>
      </c>
      <c r="K144" s="3">
        <v>0</v>
      </c>
      <c r="L144" s="3">
        <v>2</v>
      </c>
      <c r="M144" s="3">
        <v>47026</v>
      </c>
      <c r="N144" s="3">
        <v>2056</v>
      </c>
      <c r="O144" s="3">
        <v>0</v>
      </c>
      <c r="P144" s="3">
        <v>16519</v>
      </c>
    </row>
    <row r="145" spans="1:16" x14ac:dyDescent="0.2">
      <c r="A145" t="s">
        <v>333</v>
      </c>
      <c r="B145" t="s">
        <v>334</v>
      </c>
      <c r="C145" t="s">
        <v>335</v>
      </c>
      <c r="D145" s="2">
        <v>1372049561666</v>
      </c>
      <c r="E145" t="s">
        <v>134</v>
      </c>
      <c r="F145" s="2">
        <v>1608044276947</v>
      </c>
      <c r="G145" t="s">
        <v>68</v>
      </c>
      <c r="H145" s="3">
        <v>97616</v>
      </c>
      <c r="I145" s="3">
        <v>233975</v>
      </c>
      <c r="J145" s="3">
        <v>137311</v>
      </c>
      <c r="K145" s="3">
        <v>0</v>
      </c>
      <c r="L145" s="3">
        <v>4</v>
      </c>
      <c r="M145" s="3">
        <v>358920</v>
      </c>
      <c r="N145" s="3">
        <v>11622</v>
      </c>
      <c r="O145" s="3">
        <v>0</v>
      </c>
      <c r="P145" s="3">
        <v>233976</v>
      </c>
    </row>
    <row r="146" spans="1:16" x14ac:dyDescent="0.2">
      <c r="A146" t="s">
        <v>486</v>
      </c>
      <c r="B146" t="s">
        <v>487</v>
      </c>
      <c r="C146" t="s">
        <v>488</v>
      </c>
      <c r="D146" s="2">
        <v>1522176599555</v>
      </c>
      <c r="E146" t="s">
        <v>166</v>
      </c>
      <c r="F146" s="2">
        <v>1611716462488</v>
      </c>
      <c r="G146" t="s">
        <v>489</v>
      </c>
      <c r="H146" s="3">
        <v>740143</v>
      </c>
      <c r="I146" s="3">
        <v>2807950</v>
      </c>
      <c r="J146" s="3">
        <v>553506</v>
      </c>
      <c r="K146" s="3">
        <v>28</v>
      </c>
      <c r="L146" s="3">
        <v>1835</v>
      </c>
      <c r="M146" s="3">
        <v>706785</v>
      </c>
      <c r="N146" s="3">
        <v>86867</v>
      </c>
      <c r="O146" s="3">
        <v>101170</v>
      </c>
      <c r="P146" s="3">
        <v>3862008</v>
      </c>
    </row>
    <row r="147" spans="1:16" x14ac:dyDescent="0.2">
      <c r="A147" t="s">
        <v>621</v>
      </c>
      <c r="B147" t="s">
        <v>622</v>
      </c>
      <c r="C147" t="s">
        <v>623</v>
      </c>
      <c r="D147" s="2">
        <v>1556804736242</v>
      </c>
      <c r="E147" t="s">
        <v>624</v>
      </c>
      <c r="F147" s="2">
        <v>1619891489344</v>
      </c>
      <c r="G147" t="s">
        <v>89</v>
      </c>
      <c r="H147" s="3">
        <v>82147</v>
      </c>
      <c r="I147" s="3">
        <v>104790</v>
      </c>
      <c r="J147" s="3">
        <v>55421</v>
      </c>
      <c r="K147" s="3">
        <v>0</v>
      </c>
      <c r="L147" s="3">
        <v>320</v>
      </c>
      <c r="M147" s="3">
        <v>129912</v>
      </c>
      <c r="N147" s="3">
        <v>6892</v>
      </c>
      <c r="O147" s="3">
        <v>38342</v>
      </c>
      <c r="P147" s="3">
        <v>104922</v>
      </c>
    </row>
    <row r="148" spans="1:16" x14ac:dyDescent="0.2">
      <c r="A148" t="s">
        <v>285</v>
      </c>
      <c r="B148" t="s">
        <v>286</v>
      </c>
      <c r="C148" t="s">
        <v>287</v>
      </c>
      <c r="D148" s="2">
        <v>1501092308653</v>
      </c>
      <c r="E148" t="s">
        <v>288</v>
      </c>
      <c r="F148" s="2">
        <v>1616190657339</v>
      </c>
      <c r="G148" t="s">
        <v>89</v>
      </c>
      <c r="H148" s="3">
        <v>27528</v>
      </c>
      <c r="I148" s="3">
        <v>41690</v>
      </c>
      <c r="J148" s="3">
        <v>40266</v>
      </c>
      <c r="K148" s="3">
        <v>0</v>
      </c>
      <c r="L148" s="3">
        <v>965</v>
      </c>
      <c r="M148" s="3">
        <v>93548</v>
      </c>
      <c r="N148" s="3">
        <v>5439</v>
      </c>
      <c r="O148" s="3">
        <v>11491</v>
      </c>
      <c r="P148" s="3">
        <v>41690</v>
      </c>
    </row>
    <row r="149" spans="1:16" x14ac:dyDescent="0.2">
      <c r="A149" t="s">
        <v>204</v>
      </c>
      <c r="B149" t="s">
        <v>205</v>
      </c>
      <c r="C149" t="s">
        <v>206</v>
      </c>
      <c r="D149" s="2">
        <v>1492456792349</v>
      </c>
      <c r="E149" t="s">
        <v>207</v>
      </c>
      <c r="F149" s="2">
        <v>1619554666845</v>
      </c>
      <c r="H149" s="3">
        <v>41</v>
      </c>
      <c r="I149" s="3">
        <v>50</v>
      </c>
      <c r="J149" s="3">
        <v>61</v>
      </c>
      <c r="K149" s="3">
        <v>3</v>
      </c>
      <c r="L149" s="3">
        <v>3</v>
      </c>
      <c r="M149" s="3">
        <v>83</v>
      </c>
      <c r="N149" s="3">
        <v>42</v>
      </c>
      <c r="O149" s="3">
        <v>16</v>
      </c>
      <c r="P149" s="3">
        <v>37</v>
      </c>
    </row>
    <row r="150" spans="1:16" x14ac:dyDescent="0.2">
      <c r="A150" t="s">
        <v>388</v>
      </c>
      <c r="B150" t="s">
        <v>389</v>
      </c>
      <c r="C150" t="s">
        <v>390</v>
      </c>
      <c r="D150" s="2">
        <v>1372179643959</v>
      </c>
      <c r="E150" t="s">
        <v>391</v>
      </c>
      <c r="F150" s="2">
        <v>1619195520846</v>
      </c>
      <c r="G150" t="s">
        <v>392</v>
      </c>
      <c r="H150" s="3">
        <v>1291660</v>
      </c>
      <c r="I150" s="3">
        <v>3311987</v>
      </c>
      <c r="J150" s="3">
        <v>1122598</v>
      </c>
      <c r="K150" s="3">
        <v>1</v>
      </c>
      <c r="L150" s="3">
        <v>15835</v>
      </c>
      <c r="M150" s="3">
        <v>1794480</v>
      </c>
      <c r="N150" s="3">
        <v>232612</v>
      </c>
      <c r="O150" s="3">
        <v>55274</v>
      </c>
      <c r="P150" s="3">
        <v>8905966</v>
      </c>
    </row>
    <row r="151" spans="1:16" x14ac:dyDescent="0.2">
      <c r="A151" t="s">
        <v>366</v>
      </c>
      <c r="B151" t="s">
        <v>367</v>
      </c>
      <c r="C151" t="s">
        <v>368</v>
      </c>
      <c r="D151" s="2">
        <v>1427749139431</v>
      </c>
      <c r="E151" t="s">
        <v>369</v>
      </c>
      <c r="F151" s="2">
        <v>1617214550333</v>
      </c>
      <c r="G151" t="s">
        <v>20</v>
      </c>
      <c r="H151" s="3">
        <v>218788</v>
      </c>
      <c r="I151" s="3">
        <v>4034637</v>
      </c>
      <c r="J151" s="3">
        <v>200796</v>
      </c>
      <c r="K151" s="3">
        <v>0</v>
      </c>
      <c r="L151" s="3">
        <v>3694</v>
      </c>
      <c r="M151" s="3">
        <v>310224</v>
      </c>
      <c r="N151" s="3">
        <v>21660</v>
      </c>
      <c r="O151" s="3">
        <v>48394</v>
      </c>
      <c r="P151" s="3">
        <v>4147303</v>
      </c>
    </row>
    <row r="152" spans="1:16" x14ac:dyDescent="0.2">
      <c r="A152" t="s">
        <v>572</v>
      </c>
      <c r="B152" t="s">
        <v>573</v>
      </c>
      <c r="C152" t="s">
        <v>574</v>
      </c>
      <c r="D152" s="2">
        <v>1535467896418</v>
      </c>
      <c r="E152" t="s">
        <v>575</v>
      </c>
      <c r="F152" s="2">
        <v>1612294036889</v>
      </c>
      <c r="G152" t="s">
        <v>576</v>
      </c>
      <c r="H152" s="3">
        <v>95432</v>
      </c>
      <c r="I152" s="3">
        <v>766428</v>
      </c>
      <c r="J152" s="3">
        <v>287421</v>
      </c>
      <c r="K152" s="3">
        <v>0</v>
      </c>
      <c r="L152" s="3">
        <v>17307</v>
      </c>
      <c r="M152" s="3">
        <v>517290</v>
      </c>
      <c r="N152" s="3">
        <v>13692</v>
      </c>
      <c r="O152" s="3">
        <v>157313</v>
      </c>
      <c r="P152" s="3">
        <v>729157</v>
      </c>
    </row>
    <row r="153" spans="1:16" x14ac:dyDescent="0.2">
      <c r="A153" t="s">
        <v>794</v>
      </c>
      <c r="B153" t="s">
        <v>795</v>
      </c>
      <c r="C153" t="s">
        <v>796</v>
      </c>
      <c r="D153" s="2">
        <v>1550811393221</v>
      </c>
      <c r="E153" t="s">
        <v>797</v>
      </c>
      <c r="F153" s="2">
        <v>1611716471509</v>
      </c>
      <c r="G153" t="s">
        <v>798</v>
      </c>
      <c r="H153" s="3">
        <v>297204</v>
      </c>
      <c r="I153" s="3">
        <v>661741</v>
      </c>
      <c r="J153" s="3">
        <v>716744</v>
      </c>
      <c r="K153" s="3">
        <v>0</v>
      </c>
      <c r="L153" s="3">
        <v>8229</v>
      </c>
      <c r="M153" s="3">
        <v>1368678</v>
      </c>
      <c r="N153" s="3">
        <v>72472</v>
      </c>
      <c r="O153" s="3">
        <v>46963</v>
      </c>
      <c r="P153" s="3">
        <v>662362</v>
      </c>
    </row>
    <row r="154" spans="1:16" x14ac:dyDescent="0.2">
      <c r="A154" t="s">
        <v>384</v>
      </c>
      <c r="B154" t="s">
        <v>385</v>
      </c>
      <c r="C154" t="s">
        <v>386</v>
      </c>
      <c r="D154" s="2">
        <v>1533051290383</v>
      </c>
      <c r="E154" t="s">
        <v>387</v>
      </c>
      <c r="F154" s="2">
        <v>1619013350782</v>
      </c>
      <c r="G154" t="s">
        <v>257</v>
      </c>
      <c r="H154" s="3">
        <v>282823</v>
      </c>
      <c r="I154" s="3">
        <v>1109473</v>
      </c>
      <c r="J154" s="3">
        <v>34200</v>
      </c>
      <c r="K154" s="3">
        <v>0</v>
      </c>
      <c r="L154" s="3">
        <v>0</v>
      </c>
      <c r="M154" s="3">
        <v>0</v>
      </c>
      <c r="N154" s="3">
        <v>593</v>
      </c>
      <c r="O154" s="3">
        <v>0</v>
      </c>
      <c r="P154" s="3">
        <v>1271154</v>
      </c>
    </row>
    <row r="155" spans="1:16" x14ac:dyDescent="0.2">
      <c r="A155" t="s">
        <v>766</v>
      </c>
      <c r="B155" t="s">
        <v>767</v>
      </c>
      <c r="C155" t="s">
        <v>768</v>
      </c>
      <c r="D155" s="2">
        <v>1559153616823</v>
      </c>
      <c r="E155" t="s">
        <v>769</v>
      </c>
      <c r="F155" s="2">
        <v>1611091692169</v>
      </c>
      <c r="G155" t="s">
        <v>89</v>
      </c>
      <c r="H155" s="3">
        <v>34362</v>
      </c>
      <c r="I155" s="3">
        <v>47259</v>
      </c>
      <c r="J155" s="3">
        <v>60254</v>
      </c>
      <c r="K155" s="3">
        <v>0</v>
      </c>
      <c r="L155" s="3">
        <v>3498</v>
      </c>
      <c r="M155" s="3">
        <v>110842</v>
      </c>
      <c r="N155" s="3">
        <v>26037</v>
      </c>
      <c r="O155" s="3">
        <v>30196</v>
      </c>
      <c r="P155" s="3">
        <v>47493</v>
      </c>
    </row>
    <row r="156" spans="1:16" x14ac:dyDescent="0.2">
      <c r="A156" t="s">
        <v>638</v>
      </c>
      <c r="B156" t="s">
        <v>639</v>
      </c>
      <c r="C156" t="s">
        <v>640</v>
      </c>
      <c r="D156" s="2">
        <v>1564060492843</v>
      </c>
      <c r="E156" t="s">
        <v>641</v>
      </c>
      <c r="F156" s="2">
        <v>1615794034102</v>
      </c>
      <c r="G156" t="s">
        <v>167</v>
      </c>
      <c r="H156" s="3">
        <v>12542</v>
      </c>
      <c r="I156" s="3">
        <v>23999</v>
      </c>
      <c r="J156" s="3">
        <v>28134</v>
      </c>
      <c r="K156" s="3">
        <v>0</v>
      </c>
      <c r="L156" s="3">
        <v>3784</v>
      </c>
      <c r="M156" s="3">
        <v>66704</v>
      </c>
      <c r="N156" s="3">
        <v>14199</v>
      </c>
      <c r="O156" s="3">
        <v>220</v>
      </c>
      <c r="P156" s="3">
        <v>24232</v>
      </c>
    </row>
    <row r="157" spans="1:16" x14ac:dyDescent="0.2">
      <c r="A157" t="s">
        <v>490</v>
      </c>
      <c r="B157" t="s">
        <v>491</v>
      </c>
      <c r="C157" t="s">
        <v>492</v>
      </c>
      <c r="D157" s="2">
        <v>1442941140779</v>
      </c>
      <c r="E157" t="s">
        <v>493</v>
      </c>
      <c r="F157" s="2">
        <v>1619705164490</v>
      </c>
      <c r="G157" t="s">
        <v>68</v>
      </c>
      <c r="H157" s="3">
        <v>530276</v>
      </c>
      <c r="I157" s="3">
        <v>962685</v>
      </c>
      <c r="J157" s="3">
        <v>633064</v>
      </c>
      <c r="K157" s="3">
        <v>0</v>
      </c>
      <c r="L157" s="3">
        <v>35550</v>
      </c>
      <c r="M157" s="3">
        <v>1706580</v>
      </c>
      <c r="N157" s="3">
        <v>76471</v>
      </c>
      <c r="O157" s="3">
        <v>180134</v>
      </c>
      <c r="P157" s="3">
        <v>962851</v>
      </c>
    </row>
    <row r="158" spans="1:16" x14ac:dyDescent="0.2">
      <c r="A158" t="s">
        <v>353</v>
      </c>
      <c r="B158" t="s">
        <v>354</v>
      </c>
      <c r="C158" t="s">
        <v>355</v>
      </c>
      <c r="D158" s="2">
        <v>1366665879444</v>
      </c>
      <c r="E158" t="s">
        <v>356</v>
      </c>
      <c r="F158" s="2">
        <v>1608210082954</v>
      </c>
      <c r="G158" t="s">
        <v>68</v>
      </c>
      <c r="H158" s="3">
        <v>97864</v>
      </c>
      <c r="I158" s="3">
        <v>171474</v>
      </c>
      <c r="J158" s="3">
        <v>162899</v>
      </c>
      <c r="K158" s="3">
        <v>0</v>
      </c>
      <c r="L158" s="3">
        <v>2431</v>
      </c>
      <c r="M158" s="3">
        <v>358207</v>
      </c>
      <c r="N158" s="3">
        <v>19228</v>
      </c>
      <c r="O158" s="3">
        <v>20515</v>
      </c>
      <c r="P158" s="3">
        <v>171477</v>
      </c>
    </row>
    <row r="159" spans="1:16" x14ac:dyDescent="0.2">
      <c r="A159" t="s">
        <v>470</v>
      </c>
      <c r="B159" t="s">
        <v>471</v>
      </c>
      <c r="C159" t="s">
        <v>472</v>
      </c>
      <c r="D159" s="2">
        <v>1366663271975</v>
      </c>
      <c r="E159" t="s">
        <v>473</v>
      </c>
      <c r="F159" s="2">
        <v>1616021324484</v>
      </c>
      <c r="G159" t="s">
        <v>68</v>
      </c>
      <c r="H159" s="3">
        <v>171040</v>
      </c>
      <c r="I159" s="3">
        <v>535979</v>
      </c>
      <c r="J159" s="3">
        <v>467689</v>
      </c>
      <c r="K159" s="3">
        <v>0</v>
      </c>
      <c r="L159" s="3">
        <v>9013</v>
      </c>
      <c r="M159" s="3">
        <v>1330176</v>
      </c>
      <c r="N159" s="3">
        <v>48502</v>
      </c>
      <c r="O159" s="3">
        <v>44256</v>
      </c>
      <c r="P159" s="3">
        <v>542701</v>
      </c>
    </row>
    <row r="160" spans="1:16" x14ac:dyDescent="0.2">
      <c r="A160" t="s">
        <v>679</v>
      </c>
      <c r="B160" t="s">
        <v>680</v>
      </c>
      <c r="C160" t="s">
        <v>681</v>
      </c>
      <c r="D160" s="2">
        <v>1536756803979</v>
      </c>
      <c r="E160" t="s">
        <v>682</v>
      </c>
      <c r="F160" s="2">
        <v>1618510969037</v>
      </c>
      <c r="G160" t="s">
        <v>683</v>
      </c>
      <c r="H160" s="3">
        <v>1013442</v>
      </c>
      <c r="I160" s="3">
        <v>8927681</v>
      </c>
      <c r="J160" s="3">
        <v>142534</v>
      </c>
      <c r="K160" s="3">
        <v>0</v>
      </c>
      <c r="L160" s="3">
        <v>0</v>
      </c>
      <c r="M160" s="3">
        <v>0</v>
      </c>
      <c r="N160" s="3">
        <v>1127</v>
      </c>
      <c r="O160" s="3">
        <v>0</v>
      </c>
      <c r="P160" s="3">
        <v>9364729</v>
      </c>
    </row>
    <row r="161" spans="1:16" x14ac:dyDescent="0.2">
      <c r="A161" t="s">
        <v>111</v>
      </c>
      <c r="B161" t="s">
        <v>112</v>
      </c>
      <c r="C161" t="s">
        <v>113</v>
      </c>
      <c r="D161" s="2">
        <v>1505503306015</v>
      </c>
      <c r="E161" t="s">
        <v>80</v>
      </c>
      <c r="F161" s="2">
        <v>1611716459139</v>
      </c>
      <c r="G161" t="s">
        <v>114</v>
      </c>
      <c r="H161" s="3">
        <v>87284</v>
      </c>
      <c r="I161" s="3">
        <v>145538</v>
      </c>
      <c r="J161" s="3">
        <v>107714</v>
      </c>
      <c r="K161" s="3">
        <v>0</v>
      </c>
      <c r="L161" s="3">
        <v>7798</v>
      </c>
      <c r="M161" s="3">
        <v>1559620</v>
      </c>
      <c r="N161" s="3">
        <v>2437</v>
      </c>
      <c r="O161" s="3">
        <v>0</v>
      </c>
      <c r="P161" s="3">
        <v>145754</v>
      </c>
    </row>
    <row r="162" spans="1:16" x14ac:dyDescent="0.2">
      <c r="A162" t="s">
        <v>532</v>
      </c>
      <c r="B162" t="s">
        <v>533</v>
      </c>
      <c r="C162" t="s">
        <v>534</v>
      </c>
      <c r="D162" s="2">
        <v>1518744667707</v>
      </c>
      <c r="E162" t="s">
        <v>535</v>
      </c>
      <c r="F162" s="2">
        <v>1608044557094</v>
      </c>
      <c r="G162" t="s">
        <v>536</v>
      </c>
      <c r="H162" s="3">
        <v>192960</v>
      </c>
      <c r="I162" s="3">
        <v>614523</v>
      </c>
      <c r="J162" s="3">
        <v>342432</v>
      </c>
      <c r="K162" s="3">
        <v>0</v>
      </c>
      <c r="L162" s="3">
        <v>277</v>
      </c>
      <c r="M162" s="3">
        <v>2278421</v>
      </c>
      <c r="N162" s="3">
        <v>26384</v>
      </c>
      <c r="O162" s="3">
        <v>0</v>
      </c>
      <c r="P162" s="3">
        <v>618869</v>
      </c>
    </row>
    <row r="163" spans="1:16" x14ac:dyDescent="0.2">
      <c r="A163" t="s">
        <v>803</v>
      </c>
      <c r="B163" t="s">
        <v>804</v>
      </c>
      <c r="C163" t="s">
        <v>805</v>
      </c>
      <c r="D163" s="2">
        <v>1556804668095</v>
      </c>
      <c r="E163" t="s">
        <v>806</v>
      </c>
      <c r="F163" s="2">
        <v>1617718703366</v>
      </c>
      <c r="G163" t="s">
        <v>807</v>
      </c>
      <c r="H163" s="3">
        <v>262266</v>
      </c>
      <c r="I163" s="3">
        <v>1121237</v>
      </c>
      <c r="J163" s="3">
        <v>412980</v>
      </c>
      <c r="K163" s="3">
        <v>0</v>
      </c>
      <c r="L163" s="3">
        <v>20745</v>
      </c>
      <c r="M163" s="3">
        <v>618884</v>
      </c>
      <c r="N163" s="3">
        <v>377333</v>
      </c>
      <c r="O163" s="3">
        <v>213706</v>
      </c>
      <c r="P163" s="3">
        <v>1043254</v>
      </c>
    </row>
    <row r="164" spans="1:16" x14ac:dyDescent="0.2">
      <c r="A164" t="s">
        <v>235</v>
      </c>
      <c r="B164" t="s">
        <v>236</v>
      </c>
      <c r="C164" t="s">
        <v>237</v>
      </c>
      <c r="D164" s="2">
        <v>1468542059780</v>
      </c>
      <c r="E164" t="s">
        <v>238</v>
      </c>
      <c r="F164" s="2">
        <v>1608202939979</v>
      </c>
      <c r="G164" t="s">
        <v>68</v>
      </c>
      <c r="H164" s="3">
        <v>73982</v>
      </c>
      <c r="I164" s="3">
        <v>147144</v>
      </c>
      <c r="J164" s="3">
        <v>136265</v>
      </c>
      <c r="K164" s="3">
        <v>0</v>
      </c>
      <c r="L164" s="3">
        <v>3102</v>
      </c>
      <c r="M164" s="3">
        <v>397593</v>
      </c>
      <c r="N164" s="3">
        <v>6033</v>
      </c>
      <c r="O164" s="3">
        <v>20137</v>
      </c>
      <c r="P164" s="3">
        <v>147147</v>
      </c>
    </row>
    <row r="165" spans="1:16" x14ac:dyDescent="0.2">
      <c r="A165" t="s">
        <v>95</v>
      </c>
      <c r="B165" t="s">
        <v>96</v>
      </c>
      <c r="C165" t="s">
        <v>97</v>
      </c>
      <c r="D165" s="2">
        <v>1534194473699</v>
      </c>
      <c r="E165" t="s">
        <v>98</v>
      </c>
      <c r="F165" s="2">
        <v>1614960410315</v>
      </c>
      <c r="G165" t="s">
        <v>99</v>
      </c>
      <c r="H165" s="3">
        <v>5</v>
      </c>
      <c r="I165" s="3">
        <v>5</v>
      </c>
      <c r="J165" s="3">
        <v>0</v>
      </c>
      <c r="K165" s="3">
        <v>0</v>
      </c>
      <c r="L165" s="3">
        <v>0</v>
      </c>
      <c r="M165" s="3">
        <v>0</v>
      </c>
      <c r="N165" s="3">
        <v>0</v>
      </c>
      <c r="O165" s="3">
        <v>0</v>
      </c>
      <c r="P165" s="3">
        <v>4</v>
      </c>
    </row>
    <row r="166" spans="1:16" x14ac:dyDescent="0.2">
      <c r="A166" t="s">
        <v>595</v>
      </c>
      <c r="B166" t="s">
        <v>596</v>
      </c>
      <c r="C166" t="s">
        <v>597</v>
      </c>
      <c r="D166" s="2">
        <v>1536069838012</v>
      </c>
      <c r="E166" t="s">
        <v>598</v>
      </c>
      <c r="F166" s="2">
        <v>1608173686210</v>
      </c>
      <c r="G166" t="s">
        <v>599</v>
      </c>
      <c r="H166" s="3">
        <v>1649</v>
      </c>
      <c r="I166" s="3">
        <v>1723</v>
      </c>
      <c r="J166" s="3">
        <v>1651</v>
      </c>
      <c r="K166" s="3">
        <v>0</v>
      </c>
      <c r="L166" s="3">
        <v>4</v>
      </c>
      <c r="M166" s="3">
        <v>4592</v>
      </c>
      <c r="N166" s="3">
        <v>467</v>
      </c>
      <c r="O166" s="3">
        <v>0</v>
      </c>
      <c r="P166" s="3">
        <v>1763</v>
      </c>
    </row>
    <row r="167" spans="1:16" x14ac:dyDescent="0.2">
      <c r="A167" t="s">
        <v>345</v>
      </c>
      <c r="B167" t="s">
        <v>346</v>
      </c>
      <c r="C167" t="s">
        <v>347</v>
      </c>
      <c r="D167" s="2">
        <v>1533134983716</v>
      </c>
      <c r="E167" t="s">
        <v>348</v>
      </c>
      <c r="F167" s="2">
        <v>1618416276506</v>
      </c>
      <c r="G167" t="s">
        <v>149</v>
      </c>
      <c r="H167" s="3">
        <v>807507</v>
      </c>
      <c r="I167" s="3">
        <v>3994339</v>
      </c>
      <c r="J167" s="3">
        <v>29293</v>
      </c>
      <c r="K167" s="3">
        <v>0</v>
      </c>
      <c r="L167" s="3">
        <v>0</v>
      </c>
      <c r="M167" s="3">
        <v>0</v>
      </c>
      <c r="N167" s="3">
        <v>173</v>
      </c>
      <c r="O167" s="3">
        <v>0</v>
      </c>
      <c r="P167" s="3">
        <v>4086986</v>
      </c>
    </row>
    <row r="168" spans="1:16" x14ac:dyDescent="0.2">
      <c r="A168" t="s">
        <v>770</v>
      </c>
      <c r="B168" t="s">
        <v>771</v>
      </c>
      <c r="C168" t="s">
        <v>772</v>
      </c>
      <c r="D168" s="2">
        <v>1570029470982</v>
      </c>
      <c r="E168" t="s">
        <v>773</v>
      </c>
      <c r="F168" s="2">
        <v>1619042713456</v>
      </c>
      <c r="G168" t="s">
        <v>94</v>
      </c>
      <c r="H168" s="3">
        <v>814500</v>
      </c>
      <c r="I168" s="3">
        <v>2059586</v>
      </c>
      <c r="J168" s="3">
        <v>158172</v>
      </c>
      <c r="K168" s="3">
        <v>0</v>
      </c>
      <c r="L168" s="3">
        <v>0</v>
      </c>
      <c r="M168" s="3">
        <v>0</v>
      </c>
      <c r="N168" s="3">
        <v>454</v>
      </c>
      <c r="O168" s="3">
        <v>126633</v>
      </c>
      <c r="P168" s="3">
        <v>2520178</v>
      </c>
    </row>
    <row r="169" spans="1:16" x14ac:dyDescent="0.2">
      <c r="A169" t="s">
        <v>426</v>
      </c>
      <c r="B169" t="s">
        <v>427</v>
      </c>
      <c r="C169" t="s">
        <v>428</v>
      </c>
      <c r="D169" s="2">
        <v>1507336584286</v>
      </c>
      <c r="E169" t="s">
        <v>429</v>
      </c>
      <c r="F169" s="2">
        <v>1611716507631</v>
      </c>
      <c r="G169" t="s">
        <v>59</v>
      </c>
      <c r="H169" s="3">
        <v>167522</v>
      </c>
      <c r="I169" s="3">
        <v>487420</v>
      </c>
      <c r="J169" s="3">
        <v>13522</v>
      </c>
      <c r="K169" s="3">
        <v>0</v>
      </c>
      <c r="L169" s="3">
        <v>0</v>
      </c>
      <c r="M169" s="3">
        <v>0</v>
      </c>
      <c r="N169" s="3">
        <v>65</v>
      </c>
      <c r="O169" s="3">
        <v>983</v>
      </c>
      <c r="P169" s="3">
        <v>571091</v>
      </c>
    </row>
    <row r="170" spans="1:16" x14ac:dyDescent="0.2">
      <c r="A170" t="s">
        <v>554</v>
      </c>
      <c r="B170" t="s">
        <v>555</v>
      </c>
      <c r="C170" t="s">
        <v>556</v>
      </c>
      <c r="D170" s="2">
        <v>1465824607753</v>
      </c>
      <c r="E170" t="s">
        <v>557</v>
      </c>
      <c r="F170" s="2">
        <v>1608213756247</v>
      </c>
      <c r="G170" t="s">
        <v>68</v>
      </c>
      <c r="H170" s="3">
        <v>29590</v>
      </c>
      <c r="I170" s="3">
        <v>81644</v>
      </c>
      <c r="J170" s="3">
        <v>77683</v>
      </c>
      <c r="K170" s="3">
        <v>0</v>
      </c>
      <c r="L170" s="3">
        <v>3318</v>
      </c>
      <c r="M170" s="3">
        <v>262984</v>
      </c>
      <c r="N170" s="3">
        <v>3623</v>
      </c>
      <c r="O170" s="3">
        <v>12320</v>
      </c>
      <c r="P170" s="3">
        <v>81650</v>
      </c>
    </row>
    <row r="171" spans="1:16" x14ac:dyDescent="0.2">
      <c r="A171" t="s">
        <v>458</v>
      </c>
      <c r="B171" t="s">
        <v>459</v>
      </c>
      <c r="C171" t="s">
        <v>460</v>
      </c>
      <c r="D171" s="2">
        <v>1390348561088</v>
      </c>
      <c r="E171" t="s">
        <v>461</v>
      </c>
      <c r="F171" s="2">
        <v>1619721012185</v>
      </c>
      <c r="G171" t="s">
        <v>68</v>
      </c>
      <c r="H171" s="3">
        <v>417446</v>
      </c>
      <c r="I171" s="3">
        <v>2614384</v>
      </c>
      <c r="J171" s="3">
        <v>175278</v>
      </c>
      <c r="K171" s="3">
        <v>8</v>
      </c>
      <c r="L171" s="3">
        <v>1682</v>
      </c>
      <c r="M171" s="3">
        <v>329389</v>
      </c>
      <c r="N171" s="3">
        <v>64694</v>
      </c>
      <c r="O171" s="3">
        <v>50442</v>
      </c>
      <c r="P171" s="3">
        <v>2974793</v>
      </c>
    </row>
    <row r="172" spans="1:16" x14ac:dyDescent="0.2">
      <c r="A172" t="s">
        <v>625</v>
      </c>
      <c r="B172" t="s">
        <v>626</v>
      </c>
      <c r="C172" t="s">
        <v>627</v>
      </c>
      <c r="D172" s="2">
        <v>1589227817668</v>
      </c>
      <c r="E172" t="s">
        <v>628</v>
      </c>
      <c r="F172" s="2">
        <v>1619625314077</v>
      </c>
      <c r="G172" t="s">
        <v>25</v>
      </c>
      <c r="H172" s="3">
        <v>9006</v>
      </c>
      <c r="I172" s="3">
        <v>11354</v>
      </c>
      <c r="J172" s="3">
        <v>11135</v>
      </c>
      <c r="K172" s="3">
        <v>12</v>
      </c>
      <c r="L172" s="3">
        <v>614</v>
      </c>
      <c r="M172" s="3">
        <v>19315</v>
      </c>
      <c r="N172" s="3">
        <v>2150</v>
      </c>
      <c r="O172" s="3">
        <v>10879</v>
      </c>
      <c r="P172" s="3">
        <v>11353</v>
      </c>
    </row>
    <row r="173" spans="1:16" x14ac:dyDescent="0.2">
      <c r="A173" t="s">
        <v>502</v>
      </c>
      <c r="B173" t="s">
        <v>503</v>
      </c>
      <c r="C173" t="s">
        <v>504</v>
      </c>
      <c r="D173" s="2">
        <v>1417479339719</v>
      </c>
      <c r="E173" t="s">
        <v>505</v>
      </c>
      <c r="F173" s="2">
        <v>1619791600217</v>
      </c>
      <c r="G173" t="s">
        <v>506</v>
      </c>
      <c r="H173" s="3">
        <v>1457972</v>
      </c>
      <c r="I173" s="3">
        <v>22204919</v>
      </c>
      <c r="J173" s="3">
        <v>389309</v>
      </c>
      <c r="K173" s="3">
        <v>52080</v>
      </c>
      <c r="L173" s="3">
        <v>3419</v>
      </c>
      <c r="M173" s="3">
        <v>563713</v>
      </c>
      <c r="N173" s="3">
        <v>25558</v>
      </c>
      <c r="O173" s="3">
        <v>46284</v>
      </c>
      <c r="P173" s="3">
        <v>23225840</v>
      </c>
    </row>
    <row r="174" spans="1:16" x14ac:dyDescent="0.2">
      <c r="A174" t="s">
        <v>357</v>
      </c>
      <c r="B174" t="s">
        <v>358</v>
      </c>
      <c r="C174" t="s">
        <v>359</v>
      </c>
      <c r="D174" s="2">
        <v>1407166895214</v>
      </c>
      <c r="E174" t="s">
        <v>360</v>
      </c>
      <c r="F174" s="2">
        <v>1618938161726</v>
      </c>
      <c r="G174" t="s">
        <v>361</v>
      </c>
      <c r="H174" s="3">
        <v>203227</v>
      </c>
      <c r="I174" s="3">
        <v>357773</v>
      </c>
      <c r="J174" s="3">
        <v>206478</v>
      </c>
      <c r="K174" s="3">
        <v>21295</v>
      </c>
      <c r="L174" s="3">
        <v>619</v>
      </c>
      <c r="M174" s="3">
        <v>572636</v>
      </c>
      <c r="N174" s="3">
        <v>87941</v>
      </c>
      <c r="O174" s="3">
        <v>86805</v>
      </c>
      <c r="P174" s="3">
        <v>357774</v>
      </c>
    </row>
    <row r="175" spans="1:16" x14ac:dyDescent="0.2">
      <c r="A175" t="s">
        <v>303</v>
      </c>
      <c r="B175" t="s">
        <v>304</v>
      </c>
      <c r="C175" t="s">
        <v>305</v>
      </c>
      <c r="D175" s="2">
        <v>1376493549476</v>
      </c>
      <c r="E175" t="s">
        <v>306</v>
      </c>
      <c r="F175" s="2">
        <v>1619733861298</v>
      </c>
      <c r="G175" t="s">
        <v>307</v>
      </c>
      <c r="H175" s="3">
        <v>633274</v>
      </c>
      <c r="I175" s="3">
        <v>3214283</v>
      </c>
      <c r="J175" s="3">
        <v>1321766</v>
      </c>
      <c r="K175" s="3">
        <v>22</v>
      </c>
      <c r="L175" s="3">
        <v>43954</v>
      </c>
      <c r="M175" s="3">
        <v>3667010</v>
      </c>
      <c r="N175" s="3">
        <v>303502</v>
      </c>
      <c r="O175" s="3">
        <v>509784</v>
      </c>
      <c r="P175" s="3">
        <v>4301840</v>
      </c>
    </row>
    <row r="176" spans="1:16" x14ac:dyDescent="0.2">
      <c r="A176" t="s">
        <v>600</v>
      </c>
      <c r="B176" t="s">
        <v>601</v>
      </c>
      <c r="C176" t="s">
        <v>602</v>
      </c>
      <c r="D176" s="2">
        <v>1538501338699</v>
      </c>
      <c r="E176" t="s">
        <v>603</v>
      </c>
      <c r="F176" s="2">
        <v>1617374413270</v>
      </c>
      <c r="G176" t="s">
        <v>257</v>
      </c>
      <c r="H176" s="3">
        <v>624227</v>
      </c>
      <c r="I176" s="3">
        <v>5530924</v>
      </c>
      <c r="J176" s="3">
        <v>43290</v>
      </c>
      <c r="K176" s="3">
        <v>0</v>
      </c>
      <c r="L176" s="3">
        <v>0</v>
      </c>
      <c r="M176" s="3">
        <v>0</v>
      </c>
      <c r="N176" s="3">
        <v>864</v>
      </c>
      <c r="O176" s="3">
        <v>0</v>
      </c>
      <c r="P176" s="3">
        <v>5752202</v>
      </c>
    </row>
    <row r="177" spans="1:16" x14ac:dyDescent="0.2">
      <c r="A177" t="s">
        <v>718</v>
      </c>
      <c r="B177" t="s">
        <v>719</v>
      </c>
      <c r="C177" t="s">
        <v>720</v>
      </c>
      <c r="D177" s="2">
        <v>1553088274521</v>
      </c>
      <c r="E177" t="s">
        <v>721</v>
      </c>
      <c r="F177" s="2">
        <v>1600208391029</v>
      </c>
      <c r="G177" t="s">
        <v>94</v>
      </c>
      <c r="H177" s="3">
        <v>82453</v>
      </c>
      <c r="I177" s="3">
        <v>175707</v>
      </c>
      <c r="J177" s="3">
        <v>802</v>
      </c>
      <c r="K177" s="3">
        <v>0</v>
      </c>
      <c r="L177" s="3">
        <v>0</v>
      </c>
      <c r="M177" s="3">
        <v>0</v>
      </c>
      <c r="N177" s="3">
        <v>25</v>
      </c>
      <c r="O177" s="3">
        <v>0</v>
      </c>
      <c r="P177" s="3">
        <v>230680</v>
      </c>
    </row>
    <row r="178" spans="1:16" x14ac:dyDescent="0.2">
      <c r="A178" t="s">
        <v>299</v>
      </c>
      <c r="B178" t="s">
        <v>300</v>
      </c>
      <c r="C178" t="s">
        <v>301</v>
      </c>
      <c r="D178" s="2">
        <v>1406735786946</v>
      </c>
      <c r="E178" t="s">
        <v>302</v>
      </c>
      <c r="F178" s="2">
        <v>1619828659712</v>
      </c>
      <c r="G178" t="s">
        <v>185</v>
      </c>
      <c r="H178" s="3">
        <v>161511</v>
      </c>
      <c r="I178" s="3">
        <v>631454</v>
      </c>
      <c r="J178" s="3">
        <v>425864</v>
      </c>
      <c r="K178" s="3">
        <v>0</v>
      </c>
      <c r="L178" s="3">
        <v>11097</v>
      </c>
      <c r="M178" s="3">
        <v>1307204</v>
      </c>
      <c r="N178" s="3">
        <v>36089</v>
      </c>
      <c r="O178" s="3">
        <v>41137</v>
      </c>
      <c r="P178" s="3">
        <v>1272246</v>
      </c>
    </row>
    <row r="179" spans="1:16" x14ac:dyDescent="0.2">
      <c r="A179" t="s">
        <v>177</v>
      </c>
      <c r="B179" t="s">
        <v>178</v>
      </c>
      <c r="C179" t="s">
        <v>179</v>
      </c>
      <c r="D179" s="2">
        <v>1416521208913</v>
      </c>
      <c r="E179" t="s">
        <v>180</v>
      </c>
      <c r="F179" s="2">
        <v>1608174643027</v>
      </c>
      <c r="G179" t="s">
        <v>54</v>
      </c>
      <c r="H179" s="3">
        <v>14379</v>
      </c>
      <c r="I179" s="3">
        <v>35488</v>
      </c>
      <c r="J179" s="3">
        <v>3200</v>
      </c>
      <c r="K179" s="3">
        <v>126769</v>
      </c>
      <c r="L179" s="3">
        <v>0</v>
      </c>
      <c r="M179" s="3">
        <v>0</v>
      </c>
      <c r="N179" s="3">
        <v>71</v>
      </c>
      <c r="O179" s="3">
        <v>0</v>
      </c>
      <c r="P179" s="3">
        <v>44272</v>
      </c>
    </row>
    <row r="180" spans="1:16" x14ac:dyDescent="0.2">
      <c r="A180" t="s">
        <v>270</v>
      </c>
      <c r="B180" t="s">
        <v>271</v>
      </c>
      <c r="C180" t="s">
        <v>272</v>
      </c>
      <c r="D180" s="2">
        <v>1468351594056</v>
      </c>
      <c r="E180" t="s">
        <v>273</v>
      </c>
      <c r="F180" s="2">
        <v>1617389138099</v>
      </c>
      <c r="G180" t="s">
        <v>274</v>
      </c>
      <c r="H180" s="3">
        <v>800765</v>
      </c>
      <c r="I180" s="3">
        <v>11694667</v>
      </c>
      <c r="J180" s="3">
        <v>358207</v>
      </c>
      <c r="K180" s="3">
        <v>7</v>
      </c>
      <c r="L180" s="3">
        <v>2696</v>
      </c>
      <c r="M180" s="3">
        <v>12974</v>
      </c>
      <c r="N180" s="3">
        <v>3243</v>
      </c>
      <c r="O180" s="3">
        <v>12893</v>
      </c>
      <c r="P180" s="3">
        <v>12949006</v>
      </c>
    </row>
    <row r="181" spans="1:16" x14ac:dyDescent="0.2">
      <c r="A181" t="s">
        <v>321</v>
      </c>
      <c r="B181" t="s">
        <v>322</v>
      </c>
      <c r="C181" t="s">
        <v>323</v>
      </c>
      <c r="D181" s="2">
        <v>1492569417822</v>
      </c>
      <c r="E181" t="s">
        <v>324</v>
      </c>
      <c r="F181" s="2">
        <v>1619028827461</v>
      </c>
      <c r="G181" t="s">
        <v>35</v>
      </c>
      <c r="H181" s="3">
        <v>484450</v>
      </c>
      <c r="I181" s="3">
        <v>4109440</v>
      </c>
      <c r="J181" s="3">
        <v>131934</v>
      </c>
      <c r="K181" s="3">
        <v>3</v>
      </c>
      <c r="L181" s="3">
        <v>0</v>
      </c>
      <c r="M181" s="3">
        <v>0</v>
      </c>
      <c r="N181" s="3">
        <v>1961</v>
      </c>
      <c r="O181" s="3">
        <v>6003</v>
      </c>
      <c r="P181" s="3">
        <v>4396038</v>
      </c>
    </row>
    <row r="182" spans="1:16" x14ac:dyDescent="0.2">
      <c r="A182" t="s">
        <v>417</v>
      </c>
      <c r="B182" t="s">
        <v>418</v>
      </c>
      <c r="C182" t="s">
        <v>419</v>
      </c>
      <c r="D182" s="2">
        <v>1490895963873</v>
      </c>
      <c r="E182" t="s">
        <v>420</v>
      </c>
      <c r="F182" s="2">
        <v>1619725455336</v>
      </c>
      <c r="G182" t="s">
        <v>20</v>
      </c>
      <c r="H182" s="3">
        <v>553689</v>
      </c>
      <c r="I182" s="3">
        <v>5469846</v>
      </c>
      <c r="J182" s="3">
        <v>237527</v>
      </c>
      <c r="K182" s="3">
        <v>0</v>
      </c>
      <c r="L182" s="3">
        <v>1317</v>
      </c>
      <c r="M182" s="3">
        <v>179036</v>
      </c>
      <c r="N182" s="3">
        <v>12005</v>
      </c>
      <c r="O182" s="3">
        <v>20450</v>
      </c>
      <c r="P182" s="3">
        <v>5757552</v>
      </c>
    </row>
    <row r="183" spans="1:16" x14ac:dyDescent="0.2">
      <c r="A183" t="s">
        <v>511</v>
      </c>
      <c r="B183" t="s">
        <v>512</v>
      </c>
      <c r="C183" t="s">
        <v>513</v>
      </c>
      <c r="D183" s="2">
        <v>1466547138921</v>
      </c>
      <c r="E183" t="s">
        <v>514</v>
      </c>
      <c r="F183" s="2">
        <v>1616021200787</v>
      </c>
      <c r="G183" t="s">
        <v>274</v>
      </c>
      <c r="H183" s="3">
        <v>373352</v>
      </c>
      <c r="I183" s="3">
        <v>1742645</v>
      </c>
      <c r="J183" s="3">
        <v>74487</v>
      </c>
      <c r="K183" s="3">
        <v>4</v>
      </c>
      <c r="L183" s="3">
        <v>0</v>
      </c>
      <c r="M183" s="3">
        <v>173</v>
      </c>
      <c r="N183" s="3">
        <v>2173</v>
      </c>
      <c r="O183" s="3">
        <v>5068</v>
      </c>
      <c r="P183" s="3">
        <v>2120648</v>
      </c>
    </row>
    <row r="184" spans="1:16" x14ac:dyDescent="0.2">
      <c r="A184" t="s">
        <v>227</v>
      </c>
      <c r="B184" t="s">
        <v>228</v>
      </c>
      <c r="C184" t="s">
        <v>229</v>
      </c>
      <c r="D184" s="2">
        <v>1436392212146</v>
      </c>
      <c r="E184" t="s">
        <v>230</v>
      </c>
      <c r="F184" s="2">
        <v>1619816429246</v>
      </c>
      <c r="G184" t="s">
        <v>68</v>
      </c>
      <c r="H184" s="3">
        <v>1210102</v>
      </c>
      <c r="I184" s="3">
        <v>11084322</v>
      </c>
      <c r="J184" s="3">
        <v>4280101</v>
      </c>
      <c r="K184" s="3">
        <v>0</v>
      </c>
      <c r="L184" s="3">
        <v>50452</v>
      </c>
      <c r="M184" s="3">
        <v>7058957</v>
      </c>
      <c r="N184" s="3">
        <v>288800</v>
      </c>
      <c r="O184" s="3">
        <v>3410201</v>
      </c>
      <c r="P184" s="3">
        <v>29784454</v>
      </c>
    </row>
    <row r="185" spans="1:16" x14ac:dyDescent="0.2">
      <c r="A185" t="s">
        <v>275</v>
      </c>
      <c r="B185" t="s">
        <v>276</v>
      </c>
      <c r="C185" t="s">
        <v>277</v>
      </c>
      <c r="D185" s="2">
        <v>1490019232468</v>
      </c>
      <c r="E185" t="s">
        <v>278</v>
      </c>
      <c r="F185" s="2">
        <v>1619104073411</v>
      </c>
      <c r="G185" t="s">
        <v>279</v>
      </c>
      <c r="H185" s="3">
        <v>600961</v>
      </c>
      <c r="I185" s="3">
        <v>6601696</v>
      </c>
      <c r="J185" s="3">
        <v>406582</v>
      </c>
      <c r="K185" s="3">
        <v>1</v>
      </c>
      <c r="L185" s="3">
        <v>0</v>
      </c>
      <c r="M185" s="3">
        <v>0</v>
      </c>
      <c r="N185" s="3">
        <v>2313</v>
      </c>
      <c r="O185" s="3">
        <v>7379</v>
      </c>
      <c r="P185" s="3">
        <v>6820915</v>
      </c>
    </row>
    <row r="186" spans="1:16" x14ac:dyDescent="0.2">
      <c r="A186" t="s">
        <v>435</v>
      </c>
      <c r="B186" t="s">
        <v>436</v>
      </c>
      <c r="C186" t="s">
        <v>437</v>
      </c>
      <c r="D186" s="2">
        <v>1366665907444</v>
      </c>
      <c r="E186" t="s">
        <v>438</v>
      </c>
      <c r="F186" s="2">
        <v>1618252651103</v>
      </c>
      <c r="G186" t="s">
        <v>68</v>
      </c>
      <c r="H186" s="3">
        <v>135248</v>
      </c>
      <c r="I186" s="3">
        <v>217945</v>
      </c>
      <c r="J186" s="3">
        <v>177631</v>
      </c>
      <c r="K186" s="3">
        <v>63597</v>
      </c>
      <c r="L186" s="3">
        <v>3734</v>
      </c>
      <c r="M186" s="3">
        <v>466510</v>
      </c>
      <c r="N186" s="3">
        <v>23662</v>
      </c>
      <c r="O186" s="3">
        <v>25827</v>
      </c>
      <c r="P186" s="3">
        <v>218178</v>
      </c>
    </row>
    <row r="187" spans="1:16" x14ac:dyDescent="0.2">
      <c r="A187" t="s">
        <v>454</v>
      </c>
      <c r="B187" t="s">
        <v>455</v>
      </c>
      <c r="C187" t="s">
        <v>456</v>
      </c>
      <c r="D187" s="2">
        <v>1534959434042</v>
      </c>
      <c r="E187" t="s">
        <v>457</v>
      </c>
      <c r="F187" s="2">
        <v>1608044624901</v>
      </c>
      <c r="G187" t="s">
        <v>167</v>
      </c>
      <c r="H187" s="3">
        <v>3739</v>
      </c>
      <c r="I187" s="3">
        <v>4336</v>
      </c>
      <c r="J187" s="3">
        <v>2955</v>
      </c>
      <c r="K187" s="3">
        <v>0</v>
      </c>
      <c r="L187" s="3">
        <v>1</v>
      </c>
      <c r="M187" s="3">
        <v>5309</v>
      </c>
      <c r="N187" s="3">
        <v>348</v>
      </c>
      <c r="O187" s="3">
        <v>0</v>
      </c>
      <c r="P187" s="3">
        <v>4524</v>
      </c>
    </row>
    <row r="188" spans="1:16" x14ac:dyDescent="0.2">
      <c r="A188" t="s">
        <v>199</v>
      </c>
      <c r="B188" t="s">
        <v>200</v>
      </c>
      <c r="C188" t="s">
        <v>201</v>
      </c>
      <c r="D188" s="2">
        <v>1480555106569</v>
      </c>
      <c r="E188" t="s">
        <v>202</v>
      </c>
      <c r="F188" s="2">
        <v>1617391731148</v>
      </c>
      <c r="G188" t="s">
        <v>203</v>
      </c>
      <c r="H188" s="3">
        <v>60402</v>
      </c>
      <c r="I188" s="3">
        <v>79976</v>
      </c>
      <c r="J188" s="3">
        <v>200186</v>
      </c>
      <c r="K188" s="3">
        <v>0</v>
      </c>
      <c r="L188" s="3">
        <v>219</v>
      </c>
      <c r="M188" s="3">
        <v>320616</v>
      </c>
      <c r="N188" s="3">
        <v>22958</v>
      </c>
      <c r="O188" s="3">
        <v>313</v>
      </c>
      <c r="P188" s="3">
        <v>92476</v>
      </c>
    </row>
    <row r="189" spans="1:16" x14ac:dyDescent="0.2">
      <c r="A189" t="s">
        <v>705</v>
      </c>
      <c r="B189" t="s">
        <v>706</v>
      </c>
      <c r="C189" t="s">
        <v>707</v>
      </c>
      <c r="D189" s="2">
        <v>1588028162173</v>
      </c>
      <c r="E189" t="s">
        <v>708</v>
      </c>
      <c r="F189" s="2">
        <v>1607547232513</v>
      </c>
      <c r="H189" s="3">
        <v>12</v>
      </c>
      <c r="I189" s="3">
        <v>12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12</v>
      </c>
    </row>
    <row r="190" spans="1:16" x14ac:dyDescent="0.2">
      <c r="A190" t="s">
        <v>119</v>
      </c>
      <c r="B190" t="s">
        <v>120</v>
      </c>
      <c r="C190" t="s">
        <v>121</v>
      </c>
      <c r="D190" s="2">
        <v>1531924700703</v>
      </c>
      <c r="E190" t="s">
        <v>122</v>
      </c>
      <c r="F190" s="2">
        <v>1608254365783</v>
      </c>
      <c r="G190" t="s">
        <v>89</v>
      </c>
      <c r="H190" s="3">
        <v>89999</v>
      </c>
      <c r="I190" s="3">
        <v>121213</v>
      </c>
      <c r="J190" s="3">
        <v>101579</v>
      </c>
      <c r="K190" s="3">
        <v>0</v>
      </c>
      <c r="L190" s="3">
        <v>5726</v>
      </c>
      <c r="M190" s="3">
        <v>293179</v>
      </c>
      <c r="N190" s="3">
        <v>0</v>
      </c>
      <c r="O190" s="3">
        <v>38701</v>
      </c>
      <c r="P190" s="3">
        <v>121301</v>
      </c>
    </row>
    <row r="191" spans="1:16" x14ac:dyDescent="0.2">
      <c r="A191" t="s">
        <v>562</v>
      </c>
      <c r="B191" t="s">
        <v>563</v>
      </c>
      <c r="C191" t="s">
        <v>564</v>
      </c>
      <c r="D191" s="2">
        <v>1519660712162</v>
      </c>
      <c r="E191" t="s">
        <v>565</v>
      </c>
      <c r="F191" s="2">
        <v>1608044559087</v>
      </c>
      <c r="G191" t="s">
        <v>566</v>
      </c>
      <c r="H191" s="3">
        <v>2</v>
      </c>
      <c r="I191" s="3">
        <v>2</v>
      </c>
      <c r="J191" s="3">
        <v>5</v>
      </c>
      <c r="K191" s="3">
        <v>0</v>
      </c>
      <c r="L191" s="3">
        <v>0</v>
      </c>
      <c r="M191" s="3">
        <v>14</v>
      </c>
      <c r="N191" s="3">
        <v>2</v>
      </c>
      <c r="O191" s="3">
        <v>0</v>
      </c>
      <c r="P191" s="3">
        <v>2</v>
      </c>
    </row>
    <row r="192" spans="1:16" x14ac:dyDescent="0.2">
      <c r="A192" t="s">
        <v>222</v>
      </c>
      <c r="B192" t="s">
        <v>223</v>
      </c>
      <c r="C192" t="s">
        <v>224</v>
      </c>
      <c r="D192" s="2">
        <v>1437529041387</v>
      </c>
      <c r="E192" t="s">
        <v>225</v>
      </c>
      <c r="F192" s="2">
        <v>1616008724719</v>
      </c>
      <c r="G192" t="s">
        <v>226</v>
      </c>
      <c r="H192" s="3">
        <v>35973</v>
      </c>
      <c r="I192" s="3">
        <v>159372</v>
      </c>
      <c r="J192" s="3">
        <v>155116</v>
      </c>
      <c r="K192" s="3">
        <v>0</v>
      </c>
      <c r="L192" s="3">
        <v>937</v>
      </c>
      <c r="M192" s="3">
        <v>388889</v>
      </c>
      <c r="N192" s="3">
        <v>71036</v>
      </c>
      <c r="O192" s="3">
        <v>7001</v>
      </c>
      <c r="P192" s="3">
        <v>208174</v>
      </c>
    </row>
    <row r="193" spans="1:16" x14ac:dyDescent="0.2">
      <c r="A193" t="s">
        <v>714</v>
      </c>
      <c r="B193" t="s">
        <v>715</v>
      </c>
      <c r="C193" t="s">
        <v>716</v>
      </c>
      <c r="D193" s="2">
        <v>1563374832648</v>
      </c>
      <c r="E193" t="s">
        <v>717</v>
      </c>
      <c r="F193" s="2">
        <v>1615830135593</v>
      </c>
      <c r="G193" t="s">
        <v>149</v>
      </c>
      <c r="H193" s="3">
        <v>51124</v>
      </c>
      <c r="I193" s="3">
        <v>76960</v>
      </c>
      <c r="J193" s="3">
        <v>36152</v>
      </c>
      <c r="K193" s="3">
        <v>0</v>
      </c>
      <c r="L193" s="3">
        <v>0</v>
      </c>
      <c r="M193" s="3">
        <v>0</v>
      </c>
      <c r="N193" s="3">
        <v>2355</v>
      </c>
      <c r="O193" s="3">
        <v>0</v>
      </c>
      <c r="P193" s="3">
        <v>148537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M193"/>
  <sheetViews>
    <sheetView workbookViewId="0">
      <selection activeCell="O16" sqref="O16"/>
    </sheetView>
  </sheetViews>
  <sheetFormatPr baseColWidth="10" defaultRowHeight="16" x14ac:dyDescent="0.2"/>
  <cols>
    <col min="1" max="1" width="25.5" bestFit="1" customWidth="1"/>
    <col min="2" max="2" width="56" bestFit="1" customWidth="1"/>
    <col min="3" max="3" width="14" style="3" customWidth="1"/>
    <col min="4" max="4" width="16.33203125" style="3" customWidth="1"/>
    <col min="5" max="5" width="17" style="3" customWidth="1"/>
    <col min="6" max="6" width="17.1640625" style="3" customWidth="1"/>
    <col min="7" max="7" width="18.5" style="3" customWidth="1"/>
    <col min="8" max="8" width="26.1640625" style="3" customWidth="1"/>
    <col min="9" max="9" width="18.6640625" style="3" customWidth="1"/>
    <col min="10" max="10" width="19.1640625" style="3" customWidth="1"/>
    <col min="11" max="11" width="15.83203125" style="3" customWidth="1"/>
    <col min="12" max="12" width="17.1640625" style="3" bestFit="1" customWidth="1"/>
    <col min="13" max="13" width="14.33203125" style="4" bestFit="1" customWidth="1"/>
  </cols>
  <sheetData>
    <row r="1" spans="1:13" x14ac:dyDescent="0.2">
      <c r="A1" t="s">
        <v>0</v>
      </c>
      <c r="B1" t="s">
        <v>1</v>
      </c>
      <c r="C1" s="3" t="s">
        <v>862</v>
      </c>
      <c r="D1" s="3" t="s">
        <v>863</v>
      </c>
      <c r="E1" s="3" t="s">
        <v>864</v>
      </c>
      <c r="F1" s="3" t="s">
        <v>865</v>
      </c>
      <c r="G1" s="3" t="s">
        <v>849</v>
      </c>
      <c r="H1" s="3" t="s">
        <v>850</v>
      </c>
      <c r="I1" s="3" t="s">
        <v>851</v>
      </c>
      <c r="J1" s="3" t="s">
        <v>852</v>
      </c>
      <c r="K1" s="3" t="s">
        <v>853</v>
      </c>
      <c r="L1" s="3" t="s">
        <v>866</v>
      </c>
      <c r="M1" s="4" t="s">
        <v>867</v>
      </c>
    </row>
    <row r="2" spans="1:13" x14ac:dyDescent="0.2">
      <c r="A2" t="s">
        <v>16</v>
      </c>
      <c r="B2" t="s">
        <v>17</v>
      </c>
      <c r="C2" s="3">
        <v>4248992322</v>
      </c>
      <c r="D2" s="3">
        <v>18786619905</v>
      </c>
      <c r="E2" s="3">
        <v>25895025378</v>
      </c>
      <c r="F2" s="3">
        <v>0</v>
      </c>
      <c r="G2" s="3">
        <v>200831946</v>
      </c>
      <c r="H2" s="3">
        <v>19915373580</v>
      </c>
      <c r="I2" s="3">
        <v>2446859444</v>
      </c>
      <c r="J2" s="3">
        <v>335464896</v>
      </c>
      <c r="K2" s="3">
        <v>5561547059</v>
      </c>
      <c r="L2" s="3">
        <f t="shared" ref="L2:L33" si="0">SUM(C2:K2)</f>
        <v>77390714530</v>
      </c>
      <c r="M2" s="4">
        <f>CONVERT(Table10[[#This Row],[Estimation Total]],"byte","Gibyte")</f>
        <v>72.075719507411122</v>
      </c>
    </row>
    <row r="3" spans="1:13" x14ac:dyDescent="0.2">
      <c r="A3" t="s">
        <v>21</v>
      </c>
      <c r="B3" t="s">
        <v>22</v>
      </c>
      <c r="C3" s="3">
        <v>76530726</v>
      </c>
      <c r="D3" s="3">
        <v>191279361</v>
      </c>
      <c r="E3" s="3">
        <v>789445575</v>
      </c>
      <c r="F3" s="3">
        <v>0</v>
      </c>
      <c r="G3" s="3">
        <v>40068</v>
      </c>
      <c r="H3" s="3">
        <v>507089911</v>
      </c>
      <c r="I3" s="3">
        <v>184896388</v>
      </c>
      <c r="J3" s="3">
        <v>0</v>
      </c>
      <c r="K3" s="3">
        <v>46852099</v>
      </c>
      <c r="L3" s="3">
        <f t="shared" si="0"/>
        <v>1796134128</v>
      </c>
      <c r="M3" s="4">
        <f>CONVERT(Table10[[#This Row],[Estimation Total]],"byte","Gibyte")</f>
        <v>1.6727802604436874</v>
      </c>
    </row>
    <row r="4" spans="1:13" x14ac:dyDescent="0.2">
      <c r="A4" t="s">
        <v>26</v>
      </c>
      <c r="B4" t="s">
        <v>27</v>
      </c>
      <c r="C4" s="3">
        <v>305874207</v>
      </c>
      <c r="D4" s="3">
        <v>2304122574</v>
      </c>
      <c r="E4" s="3">
        <v>961380873</v>
      </c>
      <c r="F4" s="3">
        <v>885</v>
      </c>
      <c r="G4" s="3">
        <v>7176624</v>
      </c>
      <c r="H4" s="3">
        <v>642327206</v>
      </c>
      <c r="I4" s="3">
        <v>320537480</v>
      </c>
      <c r="J4" s="3">
        <v>4874064</v>
      </c>
      <c r="K4" s="3">
        <v>573984129</v>
      </c>
      <c r="L4" s="3">
        <f t="shared" si="0"/>
        <v>5120278042</v>
      </c>
      <c r="M4" s="4">
        <f>CONVERT(Table10[[#This Row],[Estimation Total]],"byte","Gibyte")</f>
        <v>4.7686305288225412</v>
      </c>
    </row>
    <row r="5" spans="1:13" x14ac:dyDescent="0.2">
      <c r="A5" t="s">
        <v>31</v>
      </c>
      <c r="B5" t="s">
        <v>32</v>
      </c>
      <c r="C5" s="3">
        <v>305096859</v>
      </c>
      <c r="D5" s="3">
        <v>895887438</v>
      </c>
      <c r="E5" s="3">
        <v>135167553</v>
      </c>
      <c r="F5" s="3">
        <v>0</v>
      </c>
      <c r="G5" s="3">
        <v>0</v>
      </c>
      <c r="H5" s="3">
        <v>0</v>
      </c>
      <c r="I5" s="3">
        <v>8438750</v>
      </c>
      <c r="J5" s="3">
        <v>298896</v>
      </c>
      <c r="K5" s="3">
        <v>237528721</v>
      </c>
      <c r="L5" s="3">
        <f t="shared" si="0"/>
        <v>1582418217</v>
      </c>
      <c r="M5" s="4">
        <f>CONVERT(Table10[[#This Row],[Estimation Total]],"byte","Gibyte")</f>
        <v>1.473741807974875</v>
      </c>
    </row>
    <row r="6" spans="1:13" x14ac:dyDescent="0.2">
      <c r="A6" t="s">
        <v>36</v>
      </c>
      <c r="B6" t="s">
        <v>37</v>
      </c>
      <c r="C6" s="3">
        <v>101275398</v>
      </c>
      <c r="D6" s="3">
        <v>834825696</v>
      </c>
      <c r="E6" s="3">
        <v>88680879</v>
      </c>
      <c r="F6" s="3">
        <v>0</v>
      </c>
      <c r="G6" s="3">
        <v>480816</v>
      </c>
      <c r="H6" s="3">
        <v>72595120</v>
      </c>
      <c r="I6" s="3">
        <v>23493480</v>
      </c>
      <c r="J6" s="3">
        <v>843960</v>
      </c>
      <c r="K6" s="3">
        <v>205822750</v>
      </c>
      <c r="L6" s="3">
        <f t="shared" si="0"/>
        <v>1328018099</v>
      </c>
      <c r="M6" s="4">
        <f>CONVERT(Table10[[#This Row],[Estimation Total]],"byte","Gibyte")</f>
        <v>1.2368132350966334</v>
      </c>
    </row>
    <row r="7" spans="1:13" x14ac:dyDescent="0.2">
      <c r="A7" t="s">
        <v>41</v>
      </c>
      <c r="B7" t="s">
        <v>42</v>
      </c>
      <c r="C7" s="3">
        <v>469561680</v>
      </c>
      <c r="D7" s="3">
        <v>1294364871</v>
      </c>
      <c r="E7" s="3">
        <v>1778522265</v>
      </c>
      <c r="F7" s="3">
        <v>295</v>
      </c>
      <c r="G7" s="3">
        <v>0</v>
      </c>
      <c r="H7" s="3">
        <v>0</v>
      </c>
      <c r="I7" s="3">
        <v>29731404</v>
      </c>
      <c r="J7" s="3">
        <v>2337816</v>
      </c>
      <c r="K7" s="3">
        <v>543566509</v>
      </c>
      <c r="L7" s="3">
        <f t="shared" si="0"/>
        <v>4118084840</v>
      </c>
      <c r="M7" s="4">
        <f>CONVERT(Table10[[#This Row],[Estimation Total]],"byte","Gibyte")</f>
        <v>3.8352653756737709</v>
      </c>
    </row>
    <row r="8" spans="1:13" x14ac:dyDescent="0.2">
      <c r="A8" t="s">
        <v>45</v>
      </c>
      <c r="B8" t="s">
        <v>46</v>
      </c>
      <c r="C8" s="3">
        <v>30566628</v>
      </c>
      <c r="D8" s="3">
        <v>36583428</v>
      </c>
      <c r="E8" s="3">
        <v>156289005</v>
      </c>
      <c r="F8" s="3">
        <v>0</v>
      </c>
      <c r="G8" s="3">
        <v>77910</v>
      </c>
      <c r="H8" s="3">
        <v>93538427</v>
      </c>
      <c r="I8" s="3">
        <v>12300322</v>
      </c>
      <c r="J8" s="3">
        <v>1482936</v>
      </c>
      <c r="K8" s="3">
        <v>8369732</v>
      </c>
      <c r="L8" s="3">
        <f t="shared" si="0"/>
        <v>339208388</v>
      </c>
      <c r="M8" s="4">
        <f>CONVERT(Table10[[#This Row],[Estimation Total]],"byte","Gibyte")</f>
        <v>0.31591242924332619</v>
      </c>
    </row>
    <row r="9" spans="1:13" x14ac:dyDescent="0.2">
      <c r="A9" t="s">
        <v>50</v>
      </c>
      <c r="B9" t="s">
        <v>51</v>
      </c>
      <c r="C9" s="3">
        <v>101843460</v>
      </c>
      <c r="D9" s="3">
        <v>238153167</v>
      </c>
      <c r="E9" s="3">
        <v>168547239</v>
      </c>
      <c r="F9" s="3">
        <v>0</v>
      </c>
      <c r="G9" s="3">
        <v>0</v>
      </c>
      <c r="H9" s="3">
        <v>0</v>
      </c>
      <c r="I9" s="3">
        <v>22102774</v>
      </c>
      <c r="J9" s="3">
        <v>0</v>
      </c>
      <c r="K9" s="3">
        <v>89629531</v>
      </c>
      <c r="L9" s="3">
        <f t="shared" si="0"/>
        <v>620276171</v>
      </c>
      <c r="M9" s="4">
        <f>CONVERT(Table10[[#This Row],[Estimation Total]],"byte","Gibyte")</f>
        <v>0.57767720054835081</v>
      </c>
    </row>
    <row r="10" spans="1:13" x14ac:dyDescent="0.2">
      <c r="A10" t="s">
        <v>55</v>
      </c>
      <c r="B10" t="s">
        <v>56</v>
      </c>
      <c r="C10" s="3">
        <v>435612501</v>
      </c>
      <c r="D10" s="3">
        <v>2873603523</v>
      </c>
      <c r="E10" s="3">
        <v>1369415880</v>
      </c>
      <c r="F10" s="3">
        <v>0</v>
      </c>
      <c r="G10" s="3">
        <v>0</v>
      </c>
      <c r="H10" s="3">
        <v>0</v>
      </c>
      <c r="I10" s="3">
        <v>12799896</v>
      </c>
      <c r="J10" s="3">
        <v>1766232</v>
      </c>
      <c r="K10" s="3">
        <v>779274756</v>
      </c>
      <c r="L10" s="3">
        <f t="shared" si="0"/>
        <v>5472472788</v>
      </c>
      <c r="M10" s="4">
        <f>CONVERT(Table10[[#This Row],[Estimation Total]],"byte","Gibyte")</f>
        <v>5.0966374464333057</v>
      </c>
    </row>
    <row r="11" spans="1:13" x14ac:dyDescent="0.2">
      <c r="A11" t="s">
        <v>60</v>
      </c>
      <c r="B11" t="s">
        <v>61</v>
      </c>
      <c r="C11" s="3">
        <v>1830245481</v>
      </c>
      <c r="D11" s="3">
        <v>13662805608</v>
      </c>
      <c r="E11" s="3">
        <v>8145603450</v>
      </c>
      <c r="F11" s="3">
        <v>590</v>
      </c>
      <c r="G11" s="3">
        <v>13068846</v>
      </c>
      <c r="H11" s="3">
        <v>4641962082</v>
      </c>
      <c r="I11" s="3">
        <v>916961326</v>
      </c>
      <c r="J11" s="3">
        <v>23590320</v>
      </c>
      <c r="K11" s="3">
        <v>3502133993</v>
      </c>
      <c r="L11" s="3">
        <f t="shared" si="0"/>
        <v>32736371696</v>
      </c>
      <c r="M11" s="4">
        <f>CONVERT(Table10[[#This Row],[Estimation Total]],"byte","Gibyte")</f>
        <v>30.488121971487999</v>
      </c>
    </row>
    <row r="12" spans="1:13" x14ac:dyDescent="0.2">
      <c r="A12" s="1" t="s">
        <v>64</v>
      </c>
      <c r="B12" t="s">
        <v>65</v>
      </c>
      <c r="C12" s="3">
        <v>1291329954</v>
      </c>
      <c r="D12" s="3">
        <v>2930047410</v>
      </c>
      <c r="E12" s="3">
        <v>5163346260</v>
      </c>
      <c r="F12" s="3">
        <v>295</v>
      </c>
      <c r="G12" s="3">
        <v>44693628</v>
      </c>
      <c r="H12" s="3">
        <v>5705675557</v>
      </c>
      <c r="I12" s="3">
        <v>1077500106</v>
      </c>
      <c r="J12" s="3">
        <v>30568200</v>
      </c>
      <c r="K12" s="3">
        <v>699335997</v>
      </c>
      <c r="L12" s="3">
        <f t="shared" si="0"/>
        <v>16942497407</v>
      </c>
      <c r="M12" s="4">
        <f>CONVERT(Table10[[#This Row],[Estimation Total]],"byte","Gibyte")</f>
        <v>15.778930305503309</v>
      </c>
    </row>
    <row r="13" spans="1:13" x14ac:dyDescent="0.2">
      <c r="A13" t="s">
        <v>69</v>
      </c>
      <c r="B13" t="s">
        <v>70</v>
      </c>
      <c r="C13" s="3">
        <v>731836449</v>
      </c>
      <c r="D13" s="3">
        <v>8540754492</v>
      </c>
      <c r="E13" s="3">
        <v>1978410789</v>
      </c>
      <c r="F13" s="3">
        <v>0</v>
      </c>
      <c r="G13" s="3">
        <v>0</v>
      </c>
      <c r="H13" s="3">
        <v>0</v>
      </c>
      <c r="I13" s="3">
        <v>13218458</v>
      </c>
      <c r="J13" s="3">
        <v>998088</v>
      </c>
      <c r="K13" s="3">
        <v>2035027072</v>
      </c>
      <c r="L13" s="3">
        <f t="shared" si="0"/>
        <v>13300245348</v>
      </c>
      <c r="M13" s="4">
        <f>CONVERT(Table10[[#This Row],[Estimation Total]],"byte","Gibyte")</f>
        <v>12.386818740516901</v>
      </c>
    </row>
    <row r="14" spans="1:13" x14ac:dyDescent="0.2">
      <c r="A14" t="s">
        <v>73</v>
      </c>
      <c r="B14" t="s">
        <v>74</v>
      </c>
      <c r="C14" s="3">
        <v>595288206</v>
      </c>
      <c r="D14" s="3">
        <v>1499328402</v>
      </c>
      <c r="E14" s="3">
        <v>685306242</v>
      </c>
      <c r="F14" s="3">
        <v>295</v>
      </c>
      <c r="G14" s="3">
        <v>28938</v>
      </c>
      <c r="H14" s="3">
        <v>31303035</v>
      </c>
      <c r="I14" s="3">
        <v>120113792</v>
      </c>
      <c r="J14" s="3">
        <v>985296</v>
      </c>
      <c r="K14" s="3">
        <v>452759163</v>
      </c>
      <c r="L14" s="3">
        <f t="shared" si="0"/>
        <v>3385113369</v>
      </c>
      <c r="M14" s="4">
        <f>CONVERT(Table10[[#This Row],[Estimation Total]],"byte","Gibyte")</f>
        <v>3.1526324981823564</v>
      </c>
    </row>
    <row r="15" spans="1:13" x14ac:dyDescent="0.2">
      <c r="A15" t="s">
        <v>77</v>
      </c>
      <c r="B15" t="s">
        <v>78</v>
      </c>
      <c r="C15" s="3">
        <v>300430053</v>
      </c>
      <c r="D15" s="3">
        <v>935777751</v>
      </c>
      <c r="E15" s="3">
        <v>2802870945</v>
      </c>
      <c r="F15" s="3">
        <v>590</v>
      </c>
      <c r="G15" s="3">
        <v>28938</v>
      </c>
      <c r="H15" s="3">
        <v>2055724827</v>
      </c>
      <c r="I15" s="3">
        <v>359882308</v>
      </c>
      <c r="J15" s="3">
        <v>0</v>
      </c>
      <c r="K15" s="3">
        <v>329236194</v>
      </c>
      <c r="L15" s="3">
        <f t="shared" si="0"/>
        <v>6783951606</v>
      </c>
      <c r="M15" s="4">
        <f>CONVERT(Table10[[#This Row],[Estimation Total]],"byte","Gibyte")</f>
        <v>6.3180472757667303</v>
      </c>
    </row>
    <row r="16" spans="1:13" x14ac:dyDescent="0.2">
      <c r="A16" t="s">
        <v>82</v>
      </c>
      <c r="B16" t="s">
        <v>83</v>
      </c>
      <c r="C16" s="3">
        <v>215375679</v>
      </c>
      <c r="D16" s="3">
        <v>1299617589</v>
      </c>
      <c r="E16" s="3">
        <v>1388408490</v>
      </c>
      <c r="F16" s="3">
        <v>0</v>
      </c>
      <c r="G16" s="3">
        <v>1360086</v>
      </c>
      <c r="H16" s="3">
        <v>1405399160</v>
      </c>
      <c r="I16" s="3">
        <v>255430836</v>
      </c>
      <c r="J16" s="3">
        <v>1716936</v>
      </c>
      <c r="K16" s="3">
        <v>308197284</v>
      </c>
      <c r="L16" s="3">
        <f t="shared" si="0"/>
        <v>4875506060</v>
      </c>
      <c r="M16" s="4">
        <f>CONVERT(Table10[[#This Row],[Estimation Total]],"byte","Gibyte")</f>
        <v>4.5406688563525677</v>
      </c>
    </row>
    <row r="17" spans="1:13" x14ac:dyDescent="0.2">
      <c r="A17" t="s">
        <v>85</v>
      </c>
      <c r="B17" t="s">
        <v>86</v>
      </c>
      <c r="C17" s="3">
        <v>323125353</v>
      </c>
      <c r="D17" s="3">
        <v>839355171</v>
      </c>
      <c r="E17" s="3">
        <v>3385443168</v>
      </c>
      <c r="F17" s="3">
        <v>0</v>
      </c>
      <c r="G17" s="3">
        <v>44789346</v>
      </c>
      <c r="H17" s="3">
        <v>3315861537</v>
      </c>
      <c r="I17" s="3">
        <v>565031696</v>
      </c>
      <c r="J17" s="3">
        <v>61999080</v>
      </c>
      <c r="K17" s="3">
        <v>192428348</v>
      </c>
      <c r="L17" s="3">
        <f t="shared" si="0"/>
        <v>8728033699</v>
      </c>
      <c r="M17" s="4">
        <f>CONVERT(Table10[[#This Row],[Estimation Total]],"byte","Gibyte")</f>
        <v>8.1286148158833385</v>
      </c>
    </row>
    <row r="18" spans="1:13" x14ac:dyDescent="0.2">
      <c r="A18" t="s">
        <v>90</v>
      </c>
      <c r="B18" t="s">
        <v>91</v>
      </c>
      <c r="C18" s="3">
        <v>1792811826</v>
      </c>
      <c r="D18" s="3">
        <v>27548641092</v>
      </c>
      <c r="E18" s="3">
        <v>4554295695</v>
      </c>
      <c r="F18" s="3">
        <v>0</v>
      </c>
      <c r="G18" s="3">
        <v>0</v>
      </c>
      <c r="H18" s="3">
        <v>0</v>
      </c>
      <c r="I18" s="3">
        <v>112269130</v>
      </c>
      <c r="J18" s="3">
        <v>4820712</v>
      </c>
      <c r="K18" s="3">
        <v>6497256541</v>
      </c>
      <c r="L18" s="3">
        <f t="shared" si="0"/>
        <v>40510094996</v>
      </c>
      <c r="M18" s="4">
        <f>CONVERT(Table10[[#This Row],[Estimation Total]],"byte","Gibyte")</f>
        <v>37.727965969592333</v>
      </c>
    </row>
    <row r="19" spans="1:13" x14ac:dyDescent="0.2">
      <c r="A19" t="s">
        <v>95</v>
      </c>
      <c r="B19" t="s">
        <v>96</v>
      </c>
      <c r="C19" s="3">
        <v>6795</v>
      </c>
      <c r="D19" s="3">
        <v>7365</v>
      </c>
      <c r="E19" s="3">
        <v>0</v>
      </c>
      <c r="F19" s="3">
        <v>0</v>
      </c>
      <c r="G19" s="3">
        <v>0</v>
      </c>
      <c r="H19" s="3">
        <v>0</v>
      </c>
      <c r="I19" s="3">
        <v>0</v>
      </c>
      <c r="J19" s="3">
        <v>0</v>
      </c>
      <c r="K19" s="3">
        <v>1348</v>
      </c>
      <c r="L19" s="3">
        <f t="shared" si="0"/>
        <v>15508</v>
      </c>
      <c r="M19" s="4">
        <f>CONVERT(Table10[[#This Row],[Estimation Total]],"byte","Gibyte")</f>
        <v>1.4442950487136841E-5</v>
      </c>
    </row>
    <row r="20" spans="1:13" x14ac:dyDescent="0.2">
      <c r="A20" t="s">
        <v>100</v>
      </c>
      <c r="B20" t="s">
        <v>101</v>
      </c>
      <c r="C20" s="3">
        <v>1155829500</v>
      </c>
      <c r="D20" s="3">
        <v>4308598650</v>
      </c>
      <c r="E20" s="3">
        <v>8445178827</v>
      </c>
      <c r="F20" s="3">
        <v>0</v>
      </c>
      <c r="G20" s="3">
        <v>42182700</v>
      </c>
      <c r="H20" s="3">
        <v>1464823176</v>
      </c>
      <c r="I20" s="3">
        <v>333647922</v>
      </c>
      <c r="J20" s="3">
        <v>68205072</v>
      </c>
      <c r="K20" s="3">
        <v>1339295627</v>
      </c>
      <c r="L20" s="3">
        <f t="shared" si="0"/>
        <v>17157761474</v>
      </c>
      <c r="M20" s="4">
        <f>CONVERT(Table10[[#This Row],[Estimation Total]],"byte","Gibyte")</f>
        <v>15.979410590603948</v>
      </c>
    </row>
    <row r="21" spans="1:13" x14ac:dyDescent="0.2">
      <c r="A21" t="s">
        <v>104</v>
      </c>
      <c r="B21" t="s">
        <v>105</v>
      </c>
      <c r="C21" s="3">
        <v>310478499</v>
      </c>
      <c r="D21" s="3">
        <v>3102313287</v>
      </c>
      <c r="E21" s="3">
        <v>510511617</v>
      </c>
      <c r="F21" s="3">
        <v>13865</v>
      </c>
      <c r="G21" s="3">
        <v>0</v>
      </c>
      <c r="H21" s="3">
        <v>0</v>
      </c>
      <c r="I21" s="3">
        <v>2281838</v>
      </c>
      <c r="J21" s="3">
        <v>590928</v>
      </c>
      <c r="K21" s="3">
        <v>767030198</v>
      </c>
      <c r="L21" s="3">
        <f t="shared" si="0"/>
        <v>4693220232</v>
      </c>
      <c r="M21" s="4">
        <f>CONVERT(Table10[[#This Row],[Estimation Total]],"byte","Gibyte")</f>
        <v>4.3709019497036934</v>
      </c>
    </row>
    <row r="22" spans="1:13" x14ac:dyDescent="0.2">
      <c r="A22" t="s">
        <v>107</v>
      </c>
      <c r="B22" t="s">
        <v>108</v>
      </c>
      <c r="C22" s="3">
        <v>1753466058</v>
      </c>
      <c r="D22" s="3">
        <v>13134838218</v>
      </c>
      <c r="E22" s="3">
        <v>35870368527</v>
      </c>
      <c r="F22" s="3">
        <v>0</v>
      </c>
      <c r="G22" s="3">
        <v>1948135098</v>
      </c>
      <c r="H22" s="3">
        <v>11642184821</v>
      </c>
      <c r="I22" s="3">
        <v>21238646</v>
      </c>
      <c r="J22" s="3">
        <v>1284039120</v>
      </c>
      <c r="K22" s="3">
        <v>4318824174</v>
      </c>
      <c r="L22" s="3">
        <f t="shared" si="0"/>
        <v>69973094662</v>
      </c>
      <c r="M22" s="4">
        <f>CONVERT(Table10[[#This Row],[Estimation Total]],"byte","Gibyte")</f>
        <v>65.167522674426436</v>
      </c>
    </row>
    <row r="23" spans="1:13" x14ac:dyDescent="0.2">
      <c r="A23" t="s">
        <v>111</v>
      </c>
      <c r="B23" t="s">
        <v>112</v>
      </c>
      <c r="C23" s="3">
        <v>118618956</v>
      </c>
      <c r="D23" s="3">
        <v>214377474</v>
      </c>
      <c r="E23" s="3">
        <v>749366298</v>
      </c>
      <c r="F23" s="3">
        <v>0</v>
      </c>
      <c r="G23" s="3">
        <v>17358348</v>
      </c>
      <c r="H23" s="3">
        <v>3754005340</v>
      </c>
      <c r="I23" s="3">
        <v>32904374</v>
      </c>
      <c r="J23" s="3">
        <v>0</v>
      </c>
      <c r="K23" s="3">
        <v>49119098</v>
      </c>
      <c r="L23" s="3">
        <f t="shared" si="0"/>
        <v>4935749888</v>
      </c>
      <c r="M23" s="4">
        <f>CONVERT(Table10[[#This Row],[Estimation Total]],"byte","Gibyte")</f>
        <v>4.5967752933502197</v>
      </c>
    </row>
    <row r="24" spans="1:13" x14ac:dyDescent="0.2">
      <c r="A24" t="s">
        <v>115</v>
      </c>
      <c r="B24" t="s">
        <v>116</v>
      </c>
      <c r="C24" s="3">
        <v>175590954</v>
      </c>
      <c r="D24" s="3">
        <v>854462259</v>
      </c>
      <c r="E24" s="3">
        <v>181327248</v>
      </c>
      <c r="F24" s="3">
        <v>0</v>
      </c>
      <c r="G24" s="3">
        <v>0</v>
      </c>
      <c r="H24" s="3">
        <v>0</v>
      </c>
      <c r="I24" s="3">
        <v>85872720</v>
      </c>
      <c r="J24" s="3">
        <v>417144</v>
      </c>
      <c r="K24" s="3">
        <v>221877767</v>
      </c>
      <c r="L24" s="3">
        <f t="shared" si="0"/>
        <v>1519548092</v>
      </c>
      <c r="M24" s="4">
        <f>CONVERT(Table10[[#This Row],[Estimation Total]],"byte","Gibyte")</f>
        <v>1.415189441293478</v>
      </c>
    </row>
    <row r="25" spans="1:13" x14ac:dyDescent="0.2">
      <c r="A25" t="s">
        <v>119</v>
      </c>
      <c r="B25" t="s">
        <v>120</v>
      </c>
      <c r="C25" s="3">
        <v>122308641</v>
      </c>
      <c r="D25" s="3">
        <v>178546749</v>
      </c>
      <c r="E25" s="3">
        <v>706685103</v>
      </c>
      <c r="F25" s="3">
        <v>0</v>
      </c>
      <c r="G25" s="3">
        <v>12746076</v>
      </c>
      <c r="H25" s="3">
        <v>705681853</v>
      </c>
      <c r="I25" s="3">
        <v>0</v>
      </c>
      <c r="J25" s="3">
        <v>12074712</v>
      </c>
      <c r="K25" s="3">
        <v>40878437</v>
      </c>
      <c r="L25" s="3">
        <f t="shared" si="0"/>
        <v>1778921571</v>
      </c>
      <c r="M25" s="4">
        <f>CONVERT(Table10[[#This Row],[Estimation Total]],"byte","Gibyte")</f>
        <v>1.6567498175427318</v>
      </c>
    </row>
    <row r="26" spans="1:13" x14ac:dyDescent="0.2">
      <c r="A26" t="s">
        <v>123</v>
      </c>
      <c r="B26" t="s">
        <v>124</v>
      </c>
      <c r="C26" s="3">
        <v>414285714</v>
      </c>
      <c r="D26" s="3">
        <v>763320384</v>
      </c>
      <c r="E26" s="3">
        <v>471719385</v>
      </c>
      <c r="F26" s="3">
        <v>0</v>
      </c>
      <c r="G26" s="3">
        <v>672252</v>
      </c>
      <c r="H26" s="3">
        <v>462351002</v>
      </c>
      <c r="I26" s="3">
        <v>176835694</v>
      </c>
      <c r="J26" s="3">
        <v>1831440</v>
      </c>
      <c r="K26" s="3">
        <v>195434725</v>
      </c>
      <c r="L26" s="3">
        <f t="shared" si="0"/>
        <v>2486450596</v>
      </c>
      <c r="M26" s="4">
        <f>CONVERT(Table10[[#This Row],[Estimation Total]],"byte","Gibyte")</f>
        <v>2.315687570720911</v>
      </c>
    </row>
    <row r="27" spans="1:13" x14ac:dyDescent="0.2">
      <c r="A27" t="s">
        <v>127</v>
      </c>
      <c r="B27" t="s">
        <v>128</v>
      </c>
      <c r="C27" s="3">
        <v>78711921</v>
      </c>
      <c r="D27" s="3">
        <v>119556045</v>
      </c>
      <c r="E27" s="3">
        <v>505022544</v>
      </c>
      <c r="F27" s="3">
        <v>0</v>
      </c>
      <c r="G27" s="3">
        <v>102396</v>
      </c>
      <c r="H27" s="3">
        <v>458868073</v>
      </c>
      <c r="I27" s="3">
        <v>136518722</v>
      </c>
      <c r="J27" s="3">
        <v>796848</v>
      </c>
      <c r="K27" s="3">
        <v>27369455</v>
      </c>
      <c r="L27" s="3">
        <f t="shared" si="0"/>
        <v>1326946004</v>
      </c>
      <c r="M27" s="4">
        <f>CONVERT(Table10[[#This Row],[Estimation Total]],"byte","Gibyte")</f>
        <v>1.2358147688210011</v>
      </c>
    </row>
    <row r="28" spans="1:13" x14ac:dyDescent="0.2">
      <c r="A28" t="s">
        <v>131</v>
      </c>
      <c r="B28" t="s">
        <v>132</v>
      </c>
      <c r="C28" s="3">
        <v>14072445</v>
      </c>
      <c r="D28" s="3">
        <v>24332487</v>
      </c>
      <c r="E28" s="3">
        <v>111298086</v>
      </c>
      <c r="F28" s="3">
        <v>0</v>
      </c>
      <c r="G28" s="3">
        <v>4452</v>
      </c>
      <c r="H28" s="3">
        <v>113191582</v>
      </c>
      <c r="I28" s="3">
        <v>27760112</v>
      </c>
      <c r="J28" s="3">
        <v>0</v>
      </c>
      <c r="K28" s="3">
        <v>5566903</v>
      </c>
      <c r="L28" s="3">
        <f t="shared" si="0"/>
        <v>296226067</v>
      </c>
      <c r="M28" s="4">
        <f>CONVERT(Table10[[#This Row],[Estimation Total]],"byte","Gibyte")</f>
        <v>0.27588202338665724</v>
      </c>
    </row>
    <row r="29" spans="1:13" x14ac:dyDescent="0.2">
      <c r="A29" t="s">
        <v>135</v>
      </c>
      <c r="B29" t="s">
        <v>136</v>
      </c>
      <c r="C29" s="3">
        <v>122827779</v>
      </c>
      <c r="D29" s="3">
        <v>368123322</v>
      </c>
      <c r="E29" s="3">
        <v>9273681</v>
      </c>
      <c r="F29" s="3">
        <v>0</v>
      </c>
      <c r="G29" s="3">
        <v>4452</v>
      </c>
      <c r="H29" s="3">
        <v>9570232</v>
      </c>
      <c r="I29" s="3">
        <v>54008</v>
      </c>
      <c r="J29" s="3">
        <v>0</v>
      </c>
      <c r="K29" s="3">
        <v>93854163</v>
      </c>
      <c r="L29" s="3">
        <f t="shared" si="0"/>
        <v>603707637</v>
      </c>
      <c r="M29" s="4">
        <f>CONVERT(Table10[[#This Row],[Estimation Total]],"byte","Gibyte")</f>
        <v>0.56224655080586672</v>
      </c>
    </row>
    <row r="30" spans="1:13" x14ac:dyDescent="0.2">
      <c r="A30" t="s">
        <v>140</v>
      </c>
      <c r="B30" t="s">
        <v>141</v>
      </c>
      <c r="C30" s="3">
        <v>0</v>
      </c>
      <c r="D30" s="3">
        <v>0</v>
      </c>
      <c r="E30" s="3">
        <v>0</v>
      </c>
      <c r="F30" s="3">
        <v>0</v>
      </c>
      <c r="G30" s="3">
        <v>0</v>
      </c>
      <c r="H30" s="3">
        <v>0</v>
      </c>
      <c r="I30" s="3">
        <v>0</v>
      </c>
      <c r="J30" s="3">
        <v>0</v>
      </c>
      <c r="K30" s="3">
        <v>0</v>
      </c>
      <c r="L30" s="3">
        <f t="shared" si="0"/>
        <v>0</v>
      </c>
      <c r="M30" s="4">
        <f>CONVERT(Table10[[#This Row],[Estimation Total]],"byte","Gibyte")</f>
        <v>0</v>
      </c>
    </row>
    <row r="31" spans="1:13" x14ac:dyDescent="0.2">
      <c r="A31" t="s">
        <v>145</v>
      </c>
      <c r="B31" t="s">
        <v>146</v>
      </c>
      <c r="C31" s="3">
        <v>13590</v>
      </c>
      <c r="D31" s="3">
        <v>14730</v>
      </c>
      <c r="E31" s="3">
        <v>76527</v>
      </c>
      <c r="F31" s="3">
        <v>0</v>
      </c>
      <c r="G31" s="3">
        <v>0</v>
      </c>
      <c r="H31" s="3">
        <v>0</v>
      </c>
      <c r="I31" s="3">
        <v>202530</v>
      </c>
      <c r="J31" s="3">
        <v>0</v>
      </c>
      <c r="K31" s="3">
        <v>5392</v>
      </c>
      <c r="L31" s="3">
        <f t="shared" si="0"/>
        <v>312769</v>
      </c>
      <c r="M31" s="4">
        <f>CONVERT(Table10[[#This Row],[Estimation Total]],"byte","Gibyte")</f>
        <v>2.912888303399086E-4</v>
      </c>
    </row>
    <row r="32" spans="1:13" x14ac:dyDescent="0.2">
      <c r="A32" t="s">
        <v>150</v>
      </c>
      <c r="B32" t="s">
        <v>151</v>
      </c>
      <c r="C32" s="3">
        <v>442858689</v>
      </c>
      <c r="D32" s="3">
        <v>3471186366</v>
      </c>
      <c r="E32" s="3">
        <v>135167553</v>
      </c>
      <c r="F32" s="3">
        <v>885</v>
      </c>
      <c r="G32" s="3">
        <v>4745832</v>
      </c>
      <c r="H32" s="3">
        <v>101678901</v>
      </c>
      <c r="I32" s="3">
        <v>130658854</v>
      </c>
      <c r="J32" s="3">
        <v>1230840</v>
      </c>
      <c r="K32" s="3">
        <v>1312910886</v>
      </c>
      <c r="L32" s="3">
        <f t="shared" si="0"/>
        <v>5600438806</v>
      </c>
      <c r="M32" s="4">
        <f>CONVERT(Table10[[#This Row],[Estimation Total]],"byte","Gibyte")</f>
        <v>5.2158150877803564</v>
      </c>
    </row>
    <row r="33" spans="1:13" x14ac:dyDescent="0.2">
      <c r="A33" t="s">
        <v>155</v>
      </c>
      <c r="B33" t="s">
        <v>156</v>
      </c>
      <c r="C33" s="3">
        <v>148461237</v>
      </c>
      <c r="D33" s="3">
        <v>359901036</v>
      </c>
      <c r="E33" s="3">
        <v>2554199937</v>
      </c>
      <c r="F33" s="3">
        <v>0</v>
      </c>
      <c r="G33" s="3">
        <v>38825892</v>
      </c>
      <c r="H33" s="3">
        <v>4078266752</v>
      </c>
      <c r="I33" s="3">
        <v>482669496</v>
      </c>
      <c r="J33" s="3">
        <v>16867344</v>
      </c>
      <c r="K33" s="3">
        <v>82414024</v>
      </c>
      <c r="L33" s="3">
        <f t="shared" si="0"/>
        <v>7761605718</v>
      </c>
      <c r="M33" s="4">
        <f>CONVERT(Table10[[#This Row],[Estimation Total]],"byte","Gibyte")</f>
        <v>7.2285586204379797</v>
      </c>
    </row>
    <row r="34" spans="1:13" x14ac:dyDescent="0.2">
      <c r="A34" t="s">
        <v>159</v>
      </c>
      <c r="B34" t="s">
        <v>160</v>
      </c>
      <c r="C34" s="3">
        <v>1328615478</v>
      </c>
      <c r="D34" s="3">
        <v>14638354359</v>
      </c>
      <c r="E34" s="3">
        <v>31613039334</v>
      </c>
      <c r="F34" s="3">
        <v>0</v>
      </c>
      <c r="G34" s="3">
        <v>1648157112</v>
      </c>
      <c r="H34" s="3">
        <v>9153308309</v>
      </c>
      <c r="I34" s="3">
        <v>399686204</v>
      </c>
      <c r="J34" s="3">
        <v>1002354600</v>
      </c>
      <c r="K34" s="3">
        <v>2783873761</v>
      </c>
      <c r="L34" s="3">
        <f t="shared" ref="L34:L65" si="1">SUM(C34:K34)</f>
        <v>62567389157</v>
      </c>
      <c r="M34" s="4">
        <f>CONVERT(Table10[[#This Row],[Estimation Total]],"byte","Gibyte")</f>
        <v>58.270421956665814</v>
      </c>
    </row>
    <row r="35" spans="1:13" x14ac:dyDescent="0.2">
      <c r="A35" t="s">
        <v>163</v>
      </c>
      <c r="B35" t="s">
        <v>164</v>
      </c>
      <c r="C35" s="3">
        <v>37687788</v>
      </c>
      <c r="D35" s="3">
        <v>50039283</v>
      </c>
      <c r="E35" s="3">
        <v>314198991</v>
      </c>
      <c r="F35" s="3">
        <v>7218650</v>
      </c>
      <c r="G35" s="3">
        <v>2909382</v>
      </c>
      <c r="H35" s="3">
        <v>228667407</v>
      </c>
      <c r="I35" s="3">
        <v>188015350</v>
      </c>
      <c r="J35" s="3">
        <v>3412968</v>
      </c>
      <c r="K35" s="3">
        <v>13426080</v>
      </c>
      <c r="L35" s="3">
        <f t="shared" si="1"/>
        <v>845575899</v>
      </c>
      <c r="M35" s="4">
        <f>CONVERT(Table10[[#This Row],[Estimation Total]],"byte","Gibyte")</f>
        <v>0.78750392328947783</v>
      </c>
    </row>
    <row r="36" spans="1:13" x14ac:dyDescent="0.2">
      <c r="A36" t="s">
        <v>168</v>
      </c>
      <c r="B36" t="s">
        <v>169</v>
      </c>
      <c r="C36" s="3">
        <v>373280607</v>
      </c>
      <c r="D36" s="3">
        <v>2324913969</v>
      </c>
      <c r="E36" s="3">
        <v>9211875012</v>
      </c>
      <c r="F36" s="3">
        <v>0</v>
      </c>
      <c r="G36" s="3">
        <v>58263324</v>
      </c>
      <c r="H36" s="3">
        <v>5080770217</v>
      </c>
      <c r="I36" s="3">
        <v>13229232596</v>
      </c>
      <c r="J36" s="3">
        <v>137233824</v>
      </c>
      <c r="K36" s="3">
        <v>105768461</v>
      </c>
      <c r="L36" s="3">
        <f t="shared" si="1"/>
        <v>30521338010</v>
      </c>
      <c r="M36" s="4">
        <f>CONVERT(Table10[[#This Row],[Estimation Total]],"byte","Gibyte")</f>
        <v>28.425211096182466</v>
      </c>
    </row>
    <row r="37" spans="1:13" x14ac:dyDescent="0.2">
      <c r="A37" t="s">
        <v>173</v>
      </c>
      <c r="B37" t="s">
        <v>174</v>
      </c>
      <c r="C37" s="3">
        <v>92305998</v>
      </c>
      <c r="D37" s="3">
        <v>175278162</v>
      </c>
      <c r="E37" s="3">
        <v>710699292</v>
      </c>
      <c r="F37" s="3">
        <v>38914630</v>
      </c>
      <c r="G37" s="3">
        <v>15593130</v>
      </c>
      <c r="H37" s="3">
        <v>593400117</v>
      </c>
      <c r="I37" s="3">
        <v>118034484</v>
      </c>
      <c r="J37" s="3">
        <v>15339168</v>
      </c>
      <c r="K37" s="3">
        <v>40107044</v>
      </c>
      <c r="L37" s="3">
        <f t="shared" si="1"/>
        <v>1799672025</v>
      </c>
      <c r="M37" s="4">
        <f>CONVERT(Table10[[#This Row],[Estimation Total]],"byte","Gibyte")</f>
        <v>1.6760751837864518</v>
      </c>
    </row>
    <row r="38" spans="1:13" x14ac:dyDescent="0.2">
      <c r="A38" t="s">
        <v>177</v>
      </c>
      <c r="B38" t="s">
        <v>178</v>
      </c>
      <c r="C38" s="3">
        <v>19541061</v>
      </c>
      <c r="D38" s="3">
        <v>52273824</v>
      </c>
      <c r="E38" s="3">
        <v>22262400</v>
      </c>
      <c r="F38" s="3">
        <v>37396855</v>
      </c>
      <c r="G38" s="3">
        <v>0</v>
      </c>
      <c r="H38" s="3">
        <v>0</v>
      </c>
      <c r="I38" s="3">
        <v>958642</v>
      </c>
      <c r="J38" s="3">
        <v>0</v>
      </c>
      <c r="K38" s="3">
        <v>14919664</v>
      </c>
      <c r="L38" s="3">
        <f t="shared" si="1"/>
        <v>147352446</v>
      </c>
      <c r="M38" s="4">
        <f>CONVERT(Table10[[#This Row],[Estimation Total]],"byte","Gibyte")</f>
        <v>0.13723265938460827</v>
      </c>
    </row>
    <row r="39" spans="1:13" x14ac:dyDescent="0.2">
      <c r="A39" t="s">
        <v>181</v>
      </c>
      <c r="B39" t="s">
        <v>182</v>
      </c>
      <c r="C39" s="3">
        <v>313885512</v>
      </c>
      <c r="D39" s="3">
        <v>1261525809</v>
      </c>
      <c r="E39" s="3">
        <v>1754124066</v>
      </c>
      <c r="F39" s="3">
        <v>1475</v>
      </c>
      <c r="G39" s="3">
        <v>37842</v>
      </c>
      <c r="H39" s="3">
        <v>919654525</v>
      </c>
      <c r="I39" s="3">
        <v>1271591356</v>
      </c>
      <c r="J39" s="3">
        <v>0</v>
      </c>
      <c r="K39" s="3">
        <v>459332011</v>
      </c>
      <c r="L39" s="3">
        <f t="shared" si="1"/>
        <v>5980152596</v>
      </c>
      <c r="M39" s="4">
        <f>CONVERT(Table10[[#This Row],[Estimation Total]],"byte","Gibyte")</f>
        <v>5.5694511123001575</v>
      </c>
    </row>
    <row r="40" spans="1:13" x14ac:dyDescent="0.2">
      <c r="A40" t="s">
        <v>186</v>
      </c>
      <c r="B40" t="s">
        <v>187</v>
      </c>
      <c r="C40" s="3">
        <v>465125904</v>
      </c>
      <c r="D40" s="3">
        <v>866103378</v>
      </c>
      <c r="E40" s="3">
        <v>2774305503</v>
      </c>
      <c r="F40" s="3">
        <v>0</v>
      </c>
      <c r="G40" s="3">
        <v>34972686</v>
      </c>
      <c r="H40" s="3">
        <v>1672862593</v>
      </c>
      <c r="I40" s="3">
        <v>315946800</v>
      </c>
      <c r="J40" s="3">
        <v>19024824</v>
      </c>
      <c r="K40" s="3">
        <v>291201700</v>
      </c>
      <c r="L40" s="3">
        <f t="shared" si="1"/>
        <v>6439543388</v>
      </c>
      <c r="M40" s="4">
        <f>CONVERT(Table10[[#This Row],[Estimation Total]],"byte","Gibyte")</f>
        <v>5.9972921274602413</v>
      </c>
    </row>
    <row r="41" spans="1:13" x14ac:dyDescent="0.2">
      <c r="A41" t="s">
        <v>190</v>
      </c>
      <c r="B41" t="s">
        <v>191</v>
      </c>
      <c r="C41" s="3">
        <v>738260442</v>
      </c>
      <c r="D41" s="3">
        <v>8071275513</v>
      </c>
      <c r="E41" s="3">
        <v>9444704931</v>
      </c>
      <c r="F41" s="3">
        <v>0</v>
      </c>
      <c r="G41" s="3">
        <v>75962250</v>
      </c>
      <c r="H41" s="3">
        <v>10809309867</v>
      </c>
      <c r="I41" s="3">
        <v>937146816</v>
      </c>
      <c r="J41" s="3">
        <v>43724928</v>
      </c>
      <c r="K41" s="3">
        <v>1936673622</v>
      </c>
      <c r="L41" s="3">
        <f t="shared" si="1"/>
        <v>32057058369</v>
      </c>
      <c r="M41" s="4">
        <f>CONVERT(Table10[[#This Row],[Estimation Total]],"byte","Gibyte")</f>
        <v>29.855462134815753</v>
      </c>
    </row>
    <row r="42" spans="1:13" x14ac:dyDescent="0.2">
      <c r="A42" t="s">
        <v>194</v>
      </c>
      <c r="B42" t="s">
        <v>195</v>
      </c>
      <c r="C42" s="3">
        <v>2613357</v>
      </c>
      <c r="D42" s="3">
        <v>3985938</v>
      </c>
      <c r="E42" s="3">
        <v>75184299</v>
      </c>
      <c r="F42" s="3">
        <v>0</v>
      </c>
      <c r="G42" s="3">
        <v>1097418</v>
      </c>
      <c r="H42" s="3">
        <v>61364058</v>
      </c>
      <c r="I42" s="3">
        <v>18160190</v>
      </c>
      <c r="J42" s="3">
        <v>57720</v>
      </c>
      <c r="K42" s="3">
        <v>964831</v>
      </c>
      <c r="L42" s="3">
        <f t="shared" si="1"/>
        <v>163427811</v>
      </c>
      <c r="M42" s="4">
        <f>CONVERT(Table10[[#This Row],[Estimation Total]],"byte","Gibyte")</f>
        <v>0.15220400970429182</v>
      </c>
    </row>
    <row r="43" spans="1:13" x14ac:dyDescent="0.2">
      <c r="A43" t="s">
        <v>199</v>
      </c>
      <c r="B43" t="s">
        <v>200</v>
      </c>
      <c r="C43" s="3">
        <v>82086318</v>
      </c>
      <c r="D43" s="3">
        <v>117804648</v>
      </c>
      <c r="E43" s="3">
        <v>1392694002</v>
      </c>
      <c r="F43" s="3">
        <v>0</v>
      </c>
      <c r="G43" s="3">
        <v>487494</v>
      </c>
      <c r="H43" s="3">
        <v>771722712</v>
      </c>
      <c r="I43" s="3">
        <v>309978916</v>
      </c>
      <c r="J43" s="3">
        <v>97656</v>
      </c>
      <c r="K43" s="3">
        <v>31164412</v>
      </c>
      <c r="L43" s="3">
        <f t="shared" si="1"/>
        <v>2706036158</v>
      </c>
      <c r="M43" s="4">
        <f>CONVERT(Table10[[#This Row],[Estimation Total]],"byte","Gibyte")</f>
        <v>2.5201925616711378</v>
      </c>
    </row>
    <row r="44" spans="1:13" x14ac:dyDescent="0.2">
      <c r="A44" t="s">
        <v>204</v>
      </c>
      <c r="B44" t="s">
        <v>205</v>
      </c>
      <c r="C44" s="3">
        <v>55719</v>
      </c>
      <c r="D44" s="3">
        <v>73650</v>
      </c>
      <c r="E44" s="3">
        <v>424377</v>
      </c>
      <c r="F44" s="3">
        <v>885</v>
      </c>
      <c r="G44" s="3">
        <v>6678</v>
      </c>
      <c r="H44" s="3">
        <v>199781</v>
      </c>
      <c r="I44" s="3">
        <v>567084</v>
      </c>
      <c r="J44" s="3">
        <v>4992</v>
      </c>
      <c r="K44" s="3">
        <v>12469</v>
      </c>
      <c r="L44" s="3">
        <f t="shared" si="1"/>
        <v>1345635</v>
      </c>
      <c r="M44" s="4">
        <f>CONVERT(Table10[[#This Row],[Estimation Total]],"byte","Gibyte")</f>
        <v>1.2532202526926994E-3</v>
      </c>
    </row>
    <row r="45" spans="1:13" x14ac:dyDescent="0.2">
      <c r="A45" t="s">
        <v>208</v>
      </c>
      <c r="B45" t="s">
        <v>209</v>
      </c>
      <c r="C45" s="3">
        <v>1361183913</v>
      </c>
      <c r="D45" s="3">
        <v>13718583699</v>
      </c>
      <c r="E45" s="3">
        <v>4624853589</v>
      </c>
      <c r="F45" s="3">
        <v>0</v>
      </c>
      <c r="G45" s="3">
        <v>9171120</v>
      </c>
      <c r="H45" s="3">
        <v>451598933</v>
      </c>
      <c r="I45" s="3">
        <v>287943652</v>
      </c>
      <c r="J45" s="3">
        <v>20333664</v>
      </c>
      <c r="K45" s="3">
        <v>3314667633</v>
      </c>
      <c r="L45" s="3">
        <f t="shared" si="1"/>
        <v>23788336203</v>
      </c>
      <c r="M45" s="4">
        <f>CONVERT(Table10[[#This Row],[Estimation Total]],"byte","Gibyte")</f>
        <v>22.154614518396556</v>
      </c>
    </row>
    <row r="46" spans="1:13" x14ac:dyDescent="0.2">
      <c r="A46" t="s">
        <v>213</v>
      </c>
      <c r="B46" t="s">
        <v>214</v>
      </c>
      <c r="C46" s="3">
        <v>133883244</v>
      </c>
      <c r="D46" s="3">
        <v>1015481781</v>
      </c>
      <c r="E46" s="3">
        <v>2748495033</v>
      </c>
      <c r="F46" s="3">
        <v>0</v>
      </c>
      <c r="G46" s="3">
        <v>78023526</v>
      </c>
      <c r="H46" s="3">
        <v>1291199045</v>
      </c>
      <c r="I46" s="3">
        <v>1795995534</v>
      </c>
      <c r="J46" s="3">
        <v>44079672</v>
      </c>
      <c r="K46" s="3">
        <v>34890621</v>
      </c>
      <c r="L46" s="3">
        <f t="shared" si="1"/>
        <v>7142048456</v>
      </c>
      <c r="M46" s="4">
        <f>CONVERT(Table10[[#This Row],[Estimation Total]],"byte","Gibyte")</f>
        <v>6.6515509560704231</v>
      </c>
    </row>
    <row r="47" spans="1:13" x14ac:dyDescent="0.2">
      <c r="A47" t="s">
        <v>218</v>
      </c>
      <c r="B47" t="s">
        <v>219</v>
      </c>
      <c r="C47" s="3">
        <v>178213824</v>
      </c>
      <c r="D47" s="3">
        <v>310705782</v>
      </c>
      <c r="E47" s="3">
        <v>489417993</v>
      </c>
      <c r="F47" s="3">
        <v>0</v>
      </c>
      <c r="G47" s="3">
        <v>195888</v>
      </c>
      <c r="H47" s="3">
        <v>504817703</v>
      </c>
      <c r="I47" s="3">
        <v>125339066</v>
      </c>
      <c r="J47" s="3">
        <v>1101672</v>
      </c>
      <c r="K47" s="3">
        <v>71085095</v>
      </c>
      <c r="L47" s="3">
        <f t="shared" si="1"/>
        <v>1680877023</v>
      </c>
      <c r="M47" s="4">
        <f>CONVERT(Table10[[#This Row],[Estimation Total]],"byte","Gibyte")</f>
        <v>1.5654387166723609</v>
      </c>
    </row>
    <row r="48" spans="1:13" x14ac:dyDescent="0.2">
      <c r="A48" t="s">
        <v>222</v>
      </c>
      <c r="B48" t="s">
        <v>223</v>
      </c>
      <c r="C48" s="3">
        <v>48887307</v>
      </c>
      <c r="D48" s="3">
        <v>234754956</v>
      </c>
      <c r="E48" s="3">
        <v>1079142012</v>
      </c>
      <c r="F48" s="3">
        <v>0</v>
      </c>
      <c r="G48" s="3">
        <v>2085762</v>
      </c>
      <c r="H48" s="3">
        <v>936055823</v>
      </c>
      <c r="I48" s="3">
        <v>959128072</v>
      </c>
      <c r="J48" s="3">
        <v>2184312</v>
      </c>
      <c r="K48" s="3">
        <v>70154638</v>
      </c>
      <c r="L48" s="3">
        <f t="shared" si="1"/>
        <v>3332392882</v>
      </c>
      <c r="M48" s="4">
        <f>CONVERT(Table10[[#This Row],[Estimation Total]],"byte","Gibyte")</f>
        <v>3.1035327184945345</v>
      </c>
    </row>
    <row r="49" spans="1:13" x14ac:dyDescent="0.2">
      <c r="A49" t="s">
        <v>227</v>
      </c>
      <c r="B49" t="s">
        <v>228</v>
      </c>
      <c r="C49" s="3">
        <v>1644528618</v>
      </c>
      <c r="D49" s="3">
        <v>16327206306</v>
      </c>
      <c r="E49" s="3">
        <v>29776662657</v>
      </c>
      <c r="F49" s="3">
        <v>0</v>
      </c>
      <c r="G49" s="3">
        <v>112306152</v>
      </c>
      <c r="H49" s="3">
        <v>16990909499</v>
      </c>
      <c r="I49" s="3">
        <v>3899377600</v>
      </c>
      <c r="J49" s="3">
        <v>1063982712</v>
      </c>
      <c r="K49" s="3">
        <v>10037360998</v>
      </c>
      <c r="L49" s="3">
        <f t="shared" si="1"/>
        <v>79852334542</v>
      </c>
      <c r="M49" s="4">
        <f>CONVERT(Table10[[#This Row],[Estimation Total]],"byte","Gibyte")</f>
        <v>74.368281794711947</v>
      </c>
    </row>
    <row r="50" spans="1:13" x14ac:dyDescent="0.2">
      <c r="A50" t="s">
        <v>231</v>
      </c>
      <c r="B50" t="s">
        <v>232</v>
      </c>
      <c r="C50" s="3">
        <v>78207732</v>
      </c>
      <c r="D50" s="3">
        <v>147376596</v>
      </c>
      <c r="E50" s="3">
        <v>687066363</v>
      </c>
      <c r="F50" s="3">
        <v>0</v>
      </c>
      <c r="G50" s="3">
        <v>563178</v>
      </c>
      <c r="H50" s="3">
        <v>114334907</v>
      </c>
      <c r="I50" s="3">
        <v>153895796</v>
      </c>
      <c r="J50" s="3">
        <v>507624</v>
      </c>
      <c r="K50" s="3">
        <v>75189418</v>
      </c>
      <c r="L50" s="3">
        <f t="shared" si="1"/>
        <v>1257141614</v>
      </c>
      <c r="M50" s="4">
        <f>CONVERT(Table10[[#This Row],[Estimation Total]],"byte","Gibyte")</f>
        <v>1.1708043646067381</v>
      </c>
    </row>
    <row r="51" spans="1:13" x14ac:dyDescent="0.2">
      <c r="A51" t="s">
        <v>235</v>
      </c>
      <c r="B51" t="s">
        <v>236</v>
      </c>
      <c r="C51" s="3">
        <v>100541538</v>
      </c>
      <c r="D51" s="3">
        <v>216743112</v>
      </c>
      <c r="E51" s="3">
        <v>947995605</v>
      </c>
      <c r="F51" s="3">
        <v>0</v>
      </c>
      <c r="G51" s="3">
        <v>6905052</v>
      </c>
      <c r="H51" s="3">
        <v>957006351</v>
      </c>
      <c r="I51" s="3">
        <v>81457566</v>
      </c>
      <c r="J51" s="3">
        <v>6282744</v>
      </c>
      <c r="K51" s="3">
        <v>49588539</v>
      </c>
      <c r="L51" s="3">
        <f t="shared" si="1"/>
        <v>2366520507</v>
      </c>
      <c r="M51" s="4">
        <f>CONVERT(Table10[[#This Row],[Estimation Total]],"byte","Gibyte")</f>
        <v>2.2039939714595675</v>
      </c>
    </row>
    <row r="52" spans="1:13" x14ac:dyDescent="0.2">
      <c r="A52" t="s">
        <v>239</v>
      </c>
      <c r="B52" t="s">
        <v>240</v>
      </c>
      <c r="C52" s="3">
        <v>487421658</v>
      </c>
      <c r="D52" s="3">
        <v>2211358926</v>
      </c>
      <c r="E52" s="3">
        <v>1381047984</v>
      </c>
      <c r="F52" s="3">
        <v>0</v>
      </c>
      <c r="G52" s="3">
        <v>0</v>
      </c>
      <c r="H52" s="3">
        <v>0</v>
      </c>
      <c r="I52" s="3">
        <v>89545264</v>
      </c>
      <c r="J52" s="3">
        <v>1436136</v>
      </c>
      <c r="K52" s="3">
        <v>655739318</v>
      </c>
      <c r="L52" s="3">
        <f t="shared" si="1"/>
        <v>4826549286</v>
      </c>
      <c r="M52" s="4">
        <f>CONVERT(Table10[[#This Row],[Estimation Total]],"byte","Gibyte")</f>
        <v>4.4950743075460196</v>
      </c>
    </row>
    <row r="53" spans="1:13" x14ac:dyDescent="0.2">
      <c r="A53" t="s">
        <v>243</v>
      </c>
      <c r="B53" t="s">
        <v>244</v>
      </c>
      <c r="C53" s="3">
        <v>119578410</v>
      </c>
      <c r="D53" s="3">
        <v>195011943</v>
      </c>
      <c r="E53" s="3">
        <v>755328447</v>
      </c>
      <c r="F53" s="3">
        <v>0</v>
      </c>
      <c r="G53" s="3">
        <v>11619720</v>
      </c>
      <c r="H53" s="3">
        <v>617109067</v>
      </c>
      <c r="I53" s="3">
        <v>181493884</v>
      </c>
      <c r="J53" s="3">
        <v>17109768</v>
      </c>
      <c r="K53" s="3">
        <v>44617789</v>
      </c>
      <c r="L53" s="3">
        <f t="shared" si="1"/>
        <v>1941869028</v>
      </c>
      <c r="M53" s="4">
        <f>CONVERT(Table10[[#This Row],[Estimation Total]],"byte","Gibyte")</f>
        <v>1.8085064627230167</v>
      </c>
    </row>
    <row r="54" spans="1:13" x14ac:dyDescent="0.2">
      <c r="A54" t="s">
        <v>248</v>
      </c>
      <c r="B54" t="s">
        <v>249</v>
      </c>
      <c r="C54" s="3">
        <v>15606756</v>
      </c>
      <c r="D54" s="3">
        <v>17640648</v>
      </c>
      <c r="E54" s="3">
        <v>44942220</v>
      </c>
      <c r="F54" s="3">
        <v>0</v>
      </c>
      <c r="G54" s="3">
        <v>6678</v>
      </c>
      <c r="H54" s="3">
        <v>18285979</v>
      </c>
      <c r="I54" s="3">
        <v>3145966</v>
      </c>
      <c r="J54" s="3">
        <v>2034864</v>
      </c>
      <c r="K54" s="3">
        <v>4048044</v>
      </c>
      <c r="L54" s="3">
        <f t="shared" si="1"/>
        <v>105711155</v>
      </c>
      <c r="M54" s="4">
        <f>CONVERT(Table10[[#This Row],[Estimation Total]],"byte","Gibyte")</f>
        <v>9.8451185040175915E-2</v>
      </c>
    </row>
    <row r="55" spans="1:13" x14ac:dyDescent="0.2">
      <c r="A55" t="s">
        <v>253</v>
      </c>
      <c r="B55" t="s">
        <v>254</v>
      </c>
      <c r="C55" s="3">
        <v>394638651</v>
      </c>
      <c r="D55" s="3">
        <v>958114323</v>
      </c>
      <c r="E55" s="3">
        <v>1916688285</v>
      </c>
      <c r="F55" s="3">
        <v>0</v>
      </c>
      <c r="G55" s="3">
        <v>0</v>
      </c>
      <c r="H55" s="3">
        <v>96280</v>
      </c>
      <c r="I55" s="3">
        <v>28232682</v>
      </c>
      <c r="J55" s="3">
        <v>2184</v>
      </c>
      <c r="K55" s="3">
        <v>320851634</v>
      </c>
      <c r="L55" s="3">
        <f t="shared" si="1"/>
        <v>3618624039</v>
      </c>
      <c r="M55" s="4">
        <f>CONVERT(Table10[[#This Row],[Estimation Total]],"byte","Gibyte")</f>
        <v>3.3701062565669417</v>
      </c>
    </row>
    <row r="56" spans="1:13" x14ac:dyDescent="0.2">
      <c r="A56" t="s">
        <v>258</v>
      </c>
      <c r="B56" t="s">
        <v>259</v>
      </c>
      <c r="C56" s="3">
        <v>185431473</v>
      </c>
      <c r="D56" s="3">
        <v>453928518</v>
      </c>
      <c r="E56" s="3">
        <v>1961018289</v>
      </c>
      <c r="F56" s="3">
        <v>0</v>
      </c>
      <c r="G56" s="3">
        <v>18480252</v>
      </c>
      <c r="H56" s="3">
        <v>1183221025</v>
      </c>
      <c r="I56" s="3">
        <v>147833398</v>
      </c>
      <c r="J56" s="3">
        <v>38381304</v>
      </c>
      <c r="K56" s="3">
        <v>89669971</v>
      </c>
      <c r="L56" s="3">
        <f t="shared" si="1"/>
        <v>4077964230</v>
      </c>
      <c r="M56" s="4">
        <f>CONVERT(Table10[[#This Row],[Estimation Total]],"byte","Gibyte")</f>
        <v>3.7979001458734274</v>
      </c>
    </row>
    <row r="57" spans="1:13" x14ac:dyDescent="0.2">
      <c r="A57" t="s">
        <v>262</v>
      </c>
      <c r="B57" t="s">
        <v>263</v>
      </c>
      <c r="C57" s="3">
        <v>168749748</v>
      </c>
      <c r="D57" s="3">
        <v>388475763</v>
      </c>
      <c r="E57" s="3">
        <v>580839930</v>
      </c>
      <c r="F57" s="3">
        <v>0</v>
      </c>
      <c r="G57" s="3">
        <v>0</v>
      </c>
      <c r="H57" s="3">
        <v>13688609</v>
      </c>
      <c r="I57" s="3">
        <v>432023494</v>
      </c>
      <c r="J57" s="3">
        <v>0</v>
      </c>
      <c r="K57" s="3">
        <v>111377489</v>
      </c>
      <c r="L57" s="3">
        <f t="shared" si="1"/>
        <v>1695155033</v>
      </c>
      <c r="M57" s="4">
        <f>CONVERT(Table10[[#This Row],[Estimation Total]],"byte","Gibyte")</f>
        <v>1.5787361497059464</v>
      </c>
    </row>
    <row r="58" spans="1:13" x14ac:dyDescent="0.2">
      <c r="A58" t="s">
        <v>266</v>
      </c>
      <c r="B58" t="s">
        <v>267</v>
      </c>
      <c r="C58" s="3">
        <v>760663557</v>
      </c>
      <c r="D58" s="3">
        <v>2095961160</v>
      </c>
      <c r="E58" s="3">
        <v>1903038651</v>
      </c>
      <c r="F58" s="3">
        <v>0</v>
      </c>
      <c r="G58" s="3">
        <v>13563018</v>
      </c>
      <c r="H58" s="3">
        <v>1675493444</v>
      </c>
      <c r="I58" s="3">
        <v>704696384</v>
      </c>
      <c r="J58" s="3">
        <v>10328760</v>
      </c>
      <c r="K58" s="3">
        <v>479741405</v>
      </c>
      <c r="L58" s="3">
        <f t="shared" si="1"/>
        <v>7643486379</v>
      </c>
      <c r="M58" s="4">
        <f>CONVERT(Table10[[#This Row],[Estimation Total]],"byte","Gibyte")</f>
        <v>7.1185514135286212</v>
      </c>
    </row>
    <row r="59" spans="1:13" x14ac:dyDescent="0.2">
      <c r="A59" t="s">
        <v>270</v>
      </c>
      <c r="B59" t="s">
        <v>271</v>
      </c>
      <c r="C59" s="3">
        <v>1088239635</v>
      </c>
      <c r="D59" s="3">
        <v>17226244491</v>
      </c>
      <c r="E59" s="3">
        <v>2492046099</v>
      </c>
      <c r="F59" s="3">
        <v>2065</v>
      </c>
      <c r="G59" s="3">
        <v>6001296</v>
      </c>
      <c r="H59" s="3">
        <v>31228418</v>
      </c>
      <c r="I59" s="3">
        <v>43786986</v>
      </c>
      <c r="J59" s="3">
        <v>4022616</v>
      </c>
      <c r="K59" s="3">
        <v>4363815022</v>
      </c>
      <c r="L59" s="3">
        <f t="shared" si="1"/>
        <v>25255386628</v>
      </c>
      <c r="M59" s="4">
        <f>CONVERT(Table10[[#This Row],[Estimation Total]],"byte","Gibyte")</f>
        <v>23.520911697298288</v>
      </c>
    </row>
    <row r="60" spans="1:13" x14ac:dyDescent="0.2">
      <c r="A60" t="s">
        <v>275</v>
      </c>
      <c r="B60" t="s">
        <v>276</v>
      </c>
      <c r="C60" s="3">
        <v>816705999</v>
      </c>
      <c r="D60" s="3">
        <v>9724298208</v>
      </c>
      <c r="E60" s="3">
        <v>2828590974</v>
      </c>
      <c r="F60" s="3">
        <v>295</v>
      </c>
      <c r="G60" s="3">
        <v>0</v>
      </c>
      <c r="H60" s="3">
        <v>0</v>
      </c>
      <c r="I60" s="3">
        <v>31230126</v>
      </c>
      <c r="J60" s="3">
        <v>2302248</v>
      </c>
      <c r="K60" s="3">
        <v>2298648355</v>
      </c>
      <c r="L60" s="3">
        <f t="shared" si="1"/>
        <v>15701776205</v>
      </c>
      <c r="M60" s="4">
        <f>CONVERT(Table10[[#This Row],[Estimation Total]],"byte","Gibyte")</f>
        <v>14.623418641276658</v>
      </c>
    </row>
    <row r="61" spans="1:13" x14ac:dyDescent="0.2">
      <c r="A61" t="s">
        <v>280</v>
      </c>
      <c r="B61" t="s">
        <v>281</v>
      </c>
      <c r="C61" s="3">
        <v>223880301</v>
      </c>
      <c r="D61" s="3">
        <v>1597685031</v>
      </c>
      <c r="E61" s="3">
        <v>964887201</v>
      </c>
      <c r="F61" s="3">
        <v>0</v>
      </c>
      <c r="G61" s="3">
        <v>5168772</v>
      </c>
      <c r="H61" s="3">
        <v>544343050</v>
      </c>
      <c r="I61" s="3">
        <v>191215324</v>
      </c>
      <c r="J61" s="3">
        <v>8598408</v>
      </c>
      <c r="K61" s="3">
        <v>529026644</v>
      </c>
      <c r="L61" s="3">
        <f t="shared" si="1"/>
        <v>4064804731</v>
      </c>
      <c r="M61" s="4">
        <f>CONVERT(Table10[[#This Row],[Estimation Total]],"byte","Gibyte")</f>
        <v>3.7856444073840976</v>
      </c>
    </row>
    <row r="62" spans="1:13" x14ac:dyDescent="0.2">
      <c r="A62" t="s">
        <v>285</v>
      </c>
      <c r="B62" t="s">
        <v>286</v>
      </c>
      <c r="C62" s="3">
        <v>37410552</v>
      </c>
      <c r="D62" s="3">
        <v>61409370</v>
      </c>
      <c r="E62" s="3">
        <v>280130562</v>
      </c>
      <c r="F62" s="3">
        <v>0</v>
      </c>
      <c r="G62" s="3">
        <v>2148090</v>
      </c>
      <c r="H62" s="3">
        <v>225170036</v>
      </c>
      <c r="I62" s="3">
        <v>73437378</v>
      </c>
      <c r="J62" s="3">
        <v>3585192</v>
      </c>
      <c r="K62" s="3">
        <v>14049530</v>
      </c>
      <c r="L62" s="3">
        <f t="shared" si="1"/>
        <v>697340710</v>
      </c>
      <c r="M62" s="4">
        <f>CONVERT(Table10[[#This Row],[Estimation Total]],"byte","Gibyte")</f>
        <v>0.64944914542138577</v>
      </c>
    </row>
    <row r="63" spans="1:13" x14ac:dyDescent="0.2">
      <c r="A63" t="s">
        <v>289</v>
      </c>
      <c r="B63" t="s">
        <v>290</v>
      </c>
      <c r="C63" s="3">
        <v>270087660</v>
      </c>
      <c r="D63" s="3">
        <v>1154653767</v>
      </c>
      <c r="E63" s="3">
        <v>3556307088</v>
      </c>
      <c r="F63" s="3">
        <v>11980835</v>
      </c>
      <c r="G63" s="3">
        <v>66023160</v>
      </c>
      <c r="H63" s="3">
        <v>5078640022</v>
      </c>
      <c r="I63" s="3">
        <v>5085352774</v>
      </c>
      <c r="J63" s="3">
        <v>131657448</v>
      </c>
      <c r="K63" s="3">
        <v>264337745</v>
      </c>
      <c r="L63" s="3">
        <f t="shared" si="1"/>
        <v>15619040499</v>
      </c>
      <c r="M63" s="4">
        <f>CONVERT(Table10[[#This Row],[Estimation Total]],"byte","Gibyte")</f>
        <v>14.546365010552108</v>
      </c>
    </row>
    <row r="64" spans="1:13" x14ac:dyDescent="0.2">
      <c r="A64" t="s">
        <v>294</v>
      </c>
      <c r="B64" t="s">
        <v>295</v>
      </c>
      <c r="C64" s="3">
        <v>200599272</v>
      </c>
      <c r="D64" s="3">
        <v>749687769</v>
      </c>
      <c r="E64" s="3">
        <v>1105390773</v>
      </c>
      <c r="F64" s="3">
        <v>30295025</v>
      </c>
      <c r="G64" s="3">
        <v>18522546</v>
      </c>
      <c r="H64" s="3">
        <v>1576069902</v>
      </c>
      <c r="I64" s="3">
        <v>1015971492</v>
      </c>
      <c r="J64" s="3">
        <v>8386872</v>
      </c>
      <c r="K64" s="3">
        <v>178174596</v>
      </c>
      <c r="L64" s="3">
        <f t="shared" si="1"/>
        <v>4883098247</v>
      </c>
      <c r="M64" s="4">
        <f>CONVERT(Table10[[#This Row],[Estimation Total]],"byte","Gibyte")</f>
        <v>4.5477396314963698</v>
      </c>
    </row>
    <row r="65" spans="1:13" x14ac:dyDescent="0.2">
      <c r="A65" t="s">
        <v>299</v>
      </c>
      <c r="B65" t="s">
        <v>300</v>
      </c>
      <c r="C65" s="3">
        <v>219493449</v>
      </c>
      <c r="D65" s="3">
        <v>930131742</v>
      </c>
      <c r="E65" s="3">
        <v>2962735848</v>
      </c>
      <c r="F65" s="3">
        <v>0</v>
      </c>
      <c r="G65" s="3">
        <v>24701922</v>
      </c>
      <c r="H65" s="3">
        <v>3146440028</v>
      </c>
      <c r="I65" s="3">
        <v>487273678</v>
      </c>
      <c r="J65" s="3">
        <v>12834744</v>
      </c>
      <c r="K65" s="3">
        <v>428746902</v>
      </c>
      <c r="L65" s="3">
        <f t="shared" si="1"/>
        <v>8212358313</v>
      </c>
      <c r="M65" s="4">
        <f>CONVERT(Table10[[#This Row],[Estimation Total]],"byte","Gibyte")</f>
        <v>7.6483546877279878</v>
      </c>
    </row>
    <row r="66" spans="1:13" x14ac:dyDescent="0.2">
      <c r="A66" t="s">
        <v>303</v>
      </c>
      <c r="B66" t="s">
        <v>304</v>
      </c>
      <c r="C66" s="3">
        <v>860619366</v>
      </c>
      <c r="D66" s="3">
        <v>4734638859</v>
      </c>
      <c r="E66" s="3">
        <v>9195526062</v>
      </c>
      <c r="F66" s="3">
        <v>6490</v>
      </c>
      <c r="G66" s="3">
        <v>97841604</v>
      </c>
      <c r="H66" s="3">
        <v>8826493070</v>
      </c>
      <c r="I66" s="3">
        <v>4097884004</v>
      </c>
      <c r="J66" s="3">
        <v>159052608</v>
      </c>
      <c r="K66" s="3">
        <v>1449720080</v>
      </c>
      <c r="L66" s="3">
        <f t="shared" ref="L66:L97" si="2">SUM(C66:K66)</f>
        <v>29421782143</v>
      </c>
      <c r="M66" s="4">
        <f>CONVERT(Table10[[#This Row],[Estimation Total]],"byte","Gibyte")</f>
        <v>27.401169895194471</v>
      </c>
    </row>
    <row r="67" spans="1:13" x14ac:dyDescent="0.2">
      <c r="A67" t="s">
        <v>308</v>
      </c>
      <c r="B67" t="s">
        <v>309</v>
      </c>
      <c r="C67" s="3">
        <v>95850270</v>
      </c>
      <c r="D67" s="3">
        <v>501192669</v>
      </c>
      <c r="E67" s="3">
        <v>655662465</v>
      </c>
      <c r="F67" s="3">
        <v>2360</v>
      </c>
      <c r="G67" s="3">
        <v>4941720</v>
      </c>
      <c r="H67" s="3">
        <v>635614083</v>
      </c>
      <c r="I67" s="3">
        <v>88343586</v>
      </c>
      <c r="J67" s="3">
        <v>3802656</v>
      </c>
      <c r="K67" s="3">
        <v>115307920</v>
      </c>
      <c r="L67" s="3">
        <f t="shared" si="2"/>
        <v>2100717729</v>
      </c>
      <c r="M67" s="4">
        <f>CONVERT(Table10[[#This Row],[Estimation Total]],"byte","Gibyte")</f>
        <v>1.9564458439126611</v>
      </c>
    </row>
    <row r="68" spans="1:13" x14ac:dyDescent="0.2">
      <c r="A68" t="s">
        <v>313</v>
      </c>
      <c r="B68" t="s">
        <v>314</v>
      </c>
      <c r="C68" s="3">
        <v>921816495</v>
      </c>
      <c r="D68" s="3">
        <v>2031694170</v>
      </c>
      <c r="E68" s="3">
        <v>8126423001</v>
      </c>
      <c r="F68" s="3">
        <v>9460650</v>
      </c>
      <c r="G68" s="3">
        <v>68146764</v>
      </c>
      <c r="H68" s="3">
        <v>22356743133</v>
      </c>
      <c r="I68" s="3">
        <v>237999754</v>
      </c>
      <c r="J68" s="3">
        <v>4699968</v>
      </c>
      <c r="K68" s="3">
        <v>469434260</v>
      </c>
      <c r="L68" s="3">
        <f t="shared" si="2"/>
        <v>34226418195</v>
      </c>
      <c r="M68" s="4">
        <f>CONVERT(Table10[[#This Row],[Estimation Total]],"byte","Gibyte")</f>
        <v>31.875835913233459</v>
      </c>
    </row>
    <row r="69" spans="1:13" x14ac:dyDescent="0.2">
      <c r="A69" t="s">
        <v>317</v>
      </c>
      <c r="B69" t="s">
        <v>318</v>
      </c>
      <c r="C69" s="3">
        <v>1710592326</v>
      </c>
      <c r="D69" s="3">
        <v>4749449874</v>
      </c>
      <c r="E69" s="3">
        <v>6663832020</v>
      </c>
      <c r="F69" s="3">
        <v>0</v>
      </c>
      <c r="G69" s="3">
        <v>0</v>
      </c>
      <c r="H69" s="3">
        <v>0</v>
      </c>
      <c r="I69" s="3">
        <v>129349160</v>
      </c>
      <c r="J69" s="3">
        <v>4993560</v>
      </c>
      <c r="K69" s="3">
        <v>1625505683</v>
      </c>
      <c r="L69" s="3">
        <f t="shared" si="2"/>
        <v>14883722623</v>
      </c>
      <c r="M69" s="4">
        <f>CONVERT(Table10[[#This Row],[Estimation Total]],"byte","Gibyte")</f>
        <v>13.861546873115003</v>
      </c>
    </row>
    <row r="70" spans="1:13" x14ac:dyDescent="0.2">
      <c r="A70" t="s">
        <v>321</v>
      </c>
      <c r="B70" t="s">
        <v>322</v>
      </c>
      <c r="C70" s="3">
        <v>658367550</v>
      </c>
      <c r="D70" s="3">
        <v>6053205120</v>
      </c>
      <c r="E70" s="3">
        <v>917864838</v>
      </c>
      <c r="F70" s="3">
        <v>885</v>
      </c>
      <c r="G70" s="3">
        <v>0</v>
      </c>
      <c r="H70" s="3">
        <v>0</v>
      </c>
      <c r="I70" s="3">
        <v>26477422</v>
      </c>
      <c r="J70" s="3">
        <v>1872936</v>
      </c>
      <c r="K70" s="3">
        <v>1481464806</v>
      </c>
      <c r="L70" s="3">
        <f t="shared" si="2"/>
        <v>9139253557</v>
      </c>
      <c r="M70" s="4">
        <f>CONVERT(Table10[[#This Row],[Estimation Total]],"byte","Gibyte")</f>
        <v>8.5115931527689099</v>
      </c>
    </row>
    <row r="71" spans="1:13" x14ac:dyDescent="0.2">
      <c r="A71" t="s">
        <v>325</v>
      </c>
      <c r="B71" t="s">
        <v>326</v>
      </c>
      <c r="C71" s="3">
        <v>96112557</v>
      </c>
      <c r="D71" s="3">
        <v>299855664</v>
      </c>
      <c r="E71" s="3">
        <v>911429613</v>
      </c>
      <c r="F71" s="3">
        <v>0</v>
      </c>
      <c r="G71" s="3">
        <v>0</v>
      </c>
      <c r="H71" s="3">
        <v>0</v>
      </c>
      <c r="I71" s="3">
        <v>0</v>
      </c>
      <c r="J71" s="3">
        <v>1560</v>
      </c>
      <c r="K71" s="3">
        <v>91004154</v>
      </c>
      <c r="L71" s="3">
        <f t="shared" si="2"/>
        <v>1398403548</v>
      </c>
      <c r="M71" s="4">
        <f>CONVERT(Table10[[#This Row],[Estimation Total]],"byte","Gibyte")</f>
        <v>1.3023647926747799</v>
      </c>
    </row>
    <row r="72" spans="1:13" x14ac:dyDescent="0.2">
      <c r="A72" t="s">
        <v>329</v>
      </c>
      <c r="B72" t="s">
        <v>330</v>
      </c>
      <c r="C72" s="3">
        <v>108187272</v>
      </c>
      <c r="D72" s="3">
        <v>374144946</v>
      </c>
      <c r="E72" s="3">
        <v>2912638491</v>
      </c>
      <c r="F72" s="3">
        <v>885</v>
      </c>
      <c r="G72" s="3">
        <v>4147038</v>
      </c>
      <c r="H72" s="3">
        <v>822110850</v>
      </c>
      <c r="I72" s="3">
        <v>200720732</v>
      </c>
      <c r="J72" s="3">
        <v>2613000</v>
      </c>
      <c r="K72" s="3">
        <v>105595580</v>
      </c>
      <c r="L72" s="3">
        <f t="shared" si="2"/>
        <v>4530158794</v>
      </c>
      <c r="M72" s="4">
        <f>CONVERT(Table10[[#This Row],[Estimation Total]],"byte","Gibyte")</f>
        <v>4.2190391514450312</v>
      </c>
    </row>
    <row r="73" spans="1:13" x14ac:dyDescent="0.2">
      <c r="A73" t="s">
        <v>333</v>
      </c>
      <c r="B73" t="s">
        <v>334</v>
      </c>
      <c r="C73" s="3">
        <v>132660144</v>
      </c>
      <c r="D73" s="3">
        <v>344645175</v>
      </c>
      <c r="E73" s="3">
        <v>955272627</v>
      </c>
      <c r="F73" s="3">
        <v>0</v>
      </c>
      <c r="G73" s="3">
        <v>8904</v>
      </c>
      <c r="H73" s="3">
        <v>863920440</v>
      </c>
      <c r="I73" s="3">
        <v>156920244</v>
      </c>
      <c r="J73" s="3">
        <v>0</v>
      </c>
      <c r="K73" s="3">
        <v>78849912</v>
      </c>
      <c r="L73" s="3">
        <f t="shared" si="2"/>
        <v>2532277446</v>
      </c>
      <c r="M73" s="4">
        <f>CONVERT(Table10[[#This Row],[Estimation Total]],"byte","Gibyte")</f>
        <v>2.3583671506494284</v>
      </c>
    </row>
    <row r="74" spans="1:13" x14ac:dyDescent="0.2">
      <c r="A74" t="s">
        <v>336</v>
      </c>
      <c r="B74" t="s">
        <v>337</v>
      </c>
      <c r="C74" s="3">
        <v>1359</v>
      </c>
      <c r="D74" s="3">
        <v>1473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  <c r="J74" s="3">
        <v>0</v>
      </c>
      <c r="K74" s="3">
        <v>337</v>
      </c>
      <c r="L74" s="3">
        <f t="shared" si="2"/>
        <v>3169</v>
      </c>
      <c r="M74" s="4">
        <f>CONVERT(Table10[[#This Row],[Estimation Total]],"byte","Gibyte")</f>
        <v>2.9513612389564514E-6</v>
      </c>
    </row>
    <row r="75" spans="1:13" x14ac:dyDescent="0.2">
      <c r="A75" t="s">
        <v>340</v>
      </c>
      <c r="B75" t="s">
        <v>341</v>
      </c>
      <c r="C75" s="3">
        <v>270561951</v>
      </c>
      <c r="D75" s="3">
        <v>3075492903</v>
      </c>
      <c r="E75" s="3">
        <v>12700782684</v>
      </c>
      <c r="F75" s="3">
        <v>5986140</v>
      </c>
      <c r="G75" s="3">
        <v>274102962</v>
      </c>
      <c r="H75" s="3">
        <v>7264829063</v>
      </c>
      <c r="I75" s="3">
        <v>62689786</v>
      </c>
      <c r="J75" s="3">
        <v>195279240</v>
      </c>
      <c r="K75" s="3">
        <v>351570195</v>
      </c>
      <c r="L75" s="3">
        <f t="shared" si="2"/>
        <v>24201294924</v>
      </c>
      <c r="M75" s="4">
        <f>CONVERT(Table10[[#This Row],[Estimation Total]],"byte","Gibyte")</f>
        <v>22.539212297648191</v>
      </c>
    </row>
    <row r="76" spans="1:13" x14ac:dyDescent="0.2">
      <c r="A76" t="s">
        <v>345</v>
      </c>
      <c r="B76" t="s">
        <v>346</v>
      </c>
      <c r="C76" s="3">
        <v>1097402013</v>
      </c>
      <c r="D76" s="3">
        <v>5883661347</v>
      </c>
      <c r="E76" s="3">
        <v>203791401</v>
      </c>
      <c r="F76" s="3">
        <v>0</v>
      </c>
      <c r="G76" s="3">
        <v>0</v>
      </c>
      <c r="H76" s="3">
        <v>0</v>
      </c>
      <c r="I76" s="3">
        <v>2335846</v>
      </c>
      <c r="J76" s="3">
        <v>0</v>
      </c>
      <c r="K76" s="3">
        <v>1377314282</v>
      </c>
      <c r="L76" s="3">
        <f t="shared" si="2"/>
        <v>8564504889</v>
      </c>
      <c r="M76" s="4">
        <f>CONVERT(Table10[[#This Row],[Estimation Total]],"byte","Gibyte")</f>
        <v>7.976316743530333</v>
      </c>
    </row>
    <row r="77" spans="1:13" x14ac:dyDescent="0.2">
      <c r="A77" t="s">
        <v>349</v>
      </c>
      <c r="B77" t="s">
        <v>350</v>
      </c>
      <c r="C77" s="3">
        <v>156982167</v>
      </c>
      <c r="D77" s="3">
        <v>327839718</v>
      </c>
      <c r="E77" s="3">
        <v>246187359</v>
      </c>
      <c r="F77" s="3">
        <v>0</v>
      </c>
      <c r="G77" s="3">
        <v>705642</v>
      </c>
      <c r="H77" s="3">
        <v>198962620</v>
      </c>
      <c r="I77" s="3">
        <v>70264408</v>
      </c>
      <c r="J77" s="3">
        <v>929760</v>
      </c>
      <c r="K77" s="3">
        <v>88610780</v>
      </c>
      <c r="L77" s="3">
        <f t="shared" si="2"/>
        <v>1090482454</v>
      </c>
      <c r="M77" s="4">
        <f>CONVERT(Table10[[#This Row],[Estimation Total]],"byte","Gibyte")</f>
        <v>1.0155909266322851</v>
      </c>
    </row>
    <row r="78" spans="1:13" x14ac:dyDescent="0.2">
      <c r="A78" t="s">
        <v>353</v>
      </c>
      <c r="B78" t="s">
        <v>354</v>
      </c>
      <c r="C78" s="3">
        <v>132997176</v>
      </c>
      <c r="D78" s="3">
        <v>252581202</v>
      </c>
      <c r="E78" s="3">
        <v>1133288343</v>
      </c>
      <c r="F78" s="3">
        <v>0</v>
      </c>
      <c r="G78" s="3">
        <v>5411406</v>
      </c>
      <c r="H78" s="3">
        <v>862204249</v>
      </c>
      <c r="I78" s="3">
        <v>259616456</v>
      </c>
      <c r="J78" s="3">
        <v>6400680</v>
      </c>
      <c r="K78" s="3">
        <v>57787749</v>
      </c>
      <c r="L78" s="3">
        <f t="shared" si="2"/>
        <v>2710287261</v>
      </c>
      <c r="M78" s="4">
        <f>CONVERT(Table10[[#This Row],[Estimation Total]],"byte","Gibyte")</f>
        <v>2.5241517098620534</v>
      </c>
    </row>
    <row r="79" spans="1:13" x14ac:dyDescent="0.2">
      <c r="A79" t="s">
        <v>357</v>
      </c>
      <c r="B79" t="s">
        <v>358</v>
      </c>
      <c r="C79" s="3">
        <v>276185493</v>
      </c>
      <c r="D79" s="3">
        <v>526999629</v>
      </c>
      <c r="E79" s="3">
        <v>1436467446</v>
      </c>
      <c r="F79" s="3">
        <v>6282025</v>
      </c>
      <c r="G79" s="3">
        <v>1377894</v>
      </c>
      <c r="H79" s="3">
        <v>1378334852</v>
      </c>
      <c r="I79" s="3">
        <v>1187379382</v>
      </c>
      <c r="J79" s="3">
        <v>27083160</v>
      </c>
      <c r="K79" s="3">
        <v>120569838</v>
      </c>
      <c r="L79" s="3">
        <f t="shared" si="2"/>
        <v>4960679719</v>
      </c>
      <c r="M79" s="4">
        <f>CONVERT(Table10[[#This Row],[Estimation Total]],"byte","Gibyte")</f>
        <v>4.6199930077418685</v>
      </c>
    </row>
    <row r="80" spans="1:13" x14ac:dyDescent="0.2">
      <c r="A80" t="s">
        <v>362</v>
      </c>
      <c r="B80" t="s">
        <v>363</v>
      </c>
      <c r="C80" s="3">
        <v>219406473</v>
      </c>
      <c r="D80" s="3">
        <v>414758502</v>
      </c>
      <c r="E80" s="3">
        <v>2382188112</v>
      </c>
      <c r="F80" s="3">
        <v>0</v>
      </c>
      <c r="G80" s="3">
        <v>20390160</v>
      </c>
      <c r="H80" s="3">
        <v>2268469929</v>
      </c>
      <c r="I80" s="3">
        <v>1012744514</v>
      </c>
      <c r="J80" s="3">
        <v>29385408</v>
      </c>
      <c r="K80" s="3">
        <v>96763484</v>
      </c>
      <c r="L80" s="3">
        <f t="shared" si="2"/>
        <v>6444106582</v>
      </c>
      <c r="M80" s="4">
        <f>CONVERT(Table10[[#This Row],[Estimation Total]],"byte","Gibyte")</f>
        <v>6.0015419330447912</v>
      </c>
    </row>
    <row r="81" spans="1:13" x14ac:dyDescent="0.2">
      <c r="A81" t="s">
        <v>366</v>
      </c>
      <c r="B81" t="s">
        <v>367</v>
      </c>
      <c r="C81" s="3">
        <v>297332892</v>
      </c>
      <c r="D81" s="3">
        <v>5943020301</v>
      </c>
      <c r="E81" s="3">
        <v>1396937772</v>
      </c>
      <c r="F81" s="3">
        <v>0</v>
      </c>
      <c r="G81" s="3">
        <v>8222844</v>
      </c>
      <c r="H81" s="3">
        <v>746709168</v>
      </c>
      <c r="I81" s="3">
        <v>292453320</v>
      </c>
      <c r="J81" s="3">
        <v>15098928</v>
      </c>
      <c r="K81" s="3">
        <v>1397641111</v>
      </c>
      <c r="L81" s="3">
        <f t="shared" si="2"/>
        <v>10097416336</v>
      </c>
      <c r="M81" s="4">
        <f>CONVERT(Table10[[#This Row],[Estimation Total]],"byte","Gibyte")</f>
        <v>9.4039517790079117</v>
      </c>
    </row>
    <row r="82" spans="1:13" x14ac:dyDescent="0.2">
      <c r="A82" t="s">
        <v>370</v>
      </c>
      <c r="B82" t="s">
        <v>371</v>
      </c>
      <c r="C82" s="3">
        <v>20669031</v>
      </c>
      <c r="D82" s="3">
        <v>36961989</v>
      </c>
      <c r="E82" s="3">
        <v>88993944</v>
      </c>
      <c r="F82" s="3">
        <v>0</v>
      </c>
      <c r="G82" s="3">
        <v>155820</v>
      </c>
      <c r="H82" s="3">
        <v>74270392</v>
      </c>
      <c r="I82" s="3">
        <v>23939046</v>
      </c>
      <c r="J82" s="3">
        <v>463320</v>
      </c>
      <c r="K82" s="3">
        <v>8452634</v>
      </c>
      <c r="L82" s="3">
        <f t="shared" si="2"/>
        <v>253906176</v>
      </c>
      <c r="M82" s="4">
        <f>CONVERT(Table10[[#This Row],[Estimation Total]],"byte","Gibyte")</f>
        <v>0.23646855354309082</v>
      </c>
    </row>
    <row r="83" spans="1:13" x14ac:dyDescent="0.2">
      <c r="A83" t="s">
        <v>374</v>
      </c>
      <c r="B83" t="s">
        <v>375</v>
      </c>
      <c r="C83" s="3">
        <v>494730360</v>
      </c>
      <c r="D83" s="3">
        <v>11000746980</v>
      </c>
      <c r="E83" s="3">
        <v>11376378594</v>
      </c>
      <c r="F83" s="3">
        <v>0</v>
      </c>
      <c r="G83" s="3">
        <v>210557340</v>
      </c>
      <c r="H83" s="3">
        <v>6668458708</v>
      </c>
      <c r="I83" s="3">
        <v>24911190</v>
      </c>
      <c r="J83" s="3">
        <v>73209552</v>
      </c>
      <c r="K83" s="3">
        <v>2576118316</v>
      </c>
      <c r="L83" s="3">
        <f t="shared" si="2"/>
        <v>32425111040</v>
      </c>
      <c r="M83" s="4">
        <f>CONVERT(Table10[[#This Row],[Estimation Total]],"byte","Gibyte")</f>
        <v>30.198237895965576</v>
      </c>
    </row>
    <row r="84" spans="1:13" x14ac:dyDescent="0.2">
      <c r="A84" t="s">
        <v>379</v>
      </c>
      <c r="B84" t="s">
        <v>380</v>
      </c>
      <c r="C84" s="3">
        <v>1175393664</v>
      </c>
      <c r="D84" s="3">
        <v>4121973969</v>
      </c>
      <c r="E84" s="3">
        <v>2535840414</v>
      </c>
      <c r="F84" s="3">
        <v>0</v>
      </c>
      <c r="G84" s="3">
        <v>28693140</v>
      </c>
      <c r="H84" s="3">
        <v>1844910139</v>
      </c>
      <c r="I84" s="3">
        <v>605969760</v>
      </c>
      <c r="J84" s="3">
        <v>7543224</v>
      </c>
      <c r="K84" s="3">
        <v>1142428989</v>
      </c>
      <c r="L84" s="3">
        <f t="shared" si="2"/>
        <v>11462753299</v>
      </c>
      <c r="M84" s="4">
        <f>CONVERT(Table10[[#This Row],[Estimation Total]],"byte","Gibyte")</f>
        <v>10.67552091460675</v>
      </c>
    </row>
    <row r="85" spans="1:13" x14ac:dyDescent="0.2">
      <c r="A85" t="s">
        <v>384</v>
      </c>
      <c r="B85" t="s">
        <v>385</v>
      </c>
      <c r="C85" s="3">
        <v>384356457</v>
      </c>
      <c r="D85" s="3">
        <v>1634253729</v>
      </c>
      <c r="E85" s="3">
        <v>237929400</v>
      </c>
      <c r="F85" s="3">
        <v>0</v>
      </c>
      <c r="G85" s="3">
        <v>0</v>
      </c>
      <c r="H85" s="3">
        <v>0</v>
      </c>
      <c r="I85" s="3">
        <v>8006686</v>
      </c>
      <c r="J85" s="3">
        <v>0</v>
      </c>
      <c r="K85" s="3">
        <v>428378898</v>
      </c>
      <c r="L85" s="3">
        <f t="shared" si="2"/>
        <v>2692925170</v>
      </c>
      <c r="M85" s="4">
        <f>CONVERT(Table10[[#This Row],[Estimation Total]],"byte","Gibyte")</f>
        <v>2.5079820025712252</v>
      </c>
    </row>
    <row r="86" spans="1:13" x14ac:dyDescent="0.2">
      <c r="A86" t="s">
        <v>388</v>
      </c>
      <c r="B86" t="s">
        <v>389</v>
      </c>
      <c r="C86" s="3">
        <v>1755365940</v>
      </c>
      <c r="D86" s="3">
        <v>4878556851</v>
      </c>
      <c r="E86" s="3">
        <v>7809914286</v>
      </c>
      <c r="F86" s="3">
        <v>295</v>
      </c>
      <c r="G86" s="3">
        <v>35248710</v>
      </c>
      <c r="H86" s="3">
        <v>4319313360</v>
      </c>
      <c r="I86" s="3">
        <v>3140727224</v>
      </c>
      <c r="J86" s="3">
        <v>17245488</v>
      </c>
      <c r="K86" s="3">
        <v>3001310542</v>
      </c>
      <c r="L86" s="3">
        <f t="shared" si="2"/>
        <v>24957682696</v>
      </c>
      <c r="M86" s="4">
        <f>CONVERT(Table10[[#This Row],[Estimation Total]],"byte","Gibyte")</f>
        <v>23.243653304874897</v>
      </c>
    </row>
    <row r="87" spans="1:13" x14ac:dyDescent="0.2">
      <c r="A87" t="s">
        <v>393</v>
      </c>
      <c r="B87" t="s">
        <v>394</v>
      </c>
      <c r="C87" s="3">
        <v>6741273294</v>
      </c>
      <c r="D87" s="3">
        <v>24599515386</v>
      </c>
      <c r="E87" s="3">
        <v>18454040802</v>
      </c>
      <c r="F87" s="3">
        <v>295</v>
      </c>
      <c r="G87" s="3">
        <v>9856728</v>
      </c>
      <c r="H87" s="3">
        <v>1042214151</v>
      </c>
      <c r="I87" s="3">
        <v>1628530228</v>
      </c>
      <c r="J87" s="3">
        <v>46431216</v>
      </c>
      <c r="K87" s="3">
        <v>6965906265</v>
      </c>
      <c r="L87" s="3">
        <f t="shared" si="2"/>
        <v>59487768365</v>
      </c>
      <c r="M87" s="4">
        <f>CONVERT(Table10[[#This Row],[Estimation Total]],"byte","Gibyte")</f>
        <v>55.402301591821015</v>
      </c>
    </row>
    <row r="88" spans="1:13" x14ac:dyDescent="0.2">
      <c r="A88" t="s">
        <v>397</v>
      </c>
      <c r="B88" t="s">
        <v>398</v>
      </c>
      <c r="C88" s="3">
        <v>69544107</v>
      </c>
      <c r="D88" s="3">
        <v>117596955</v>
      </c>
      <c r="E88" s="3">
        <v>368547075</v>
      </c>
      <c r="F88" s="3">
        <v>0</v>
      </c>
      <c r="G88" s="3">
        <v>805812</v>
      </c>
      <c r="H88" s="3">
        <v>276788151</v>
      </c>
      <c r="I88" s="3">
        <v>99158688</v>
      </c>
      <c r="J88" s="3">
        <v>1835184</v>
      </c>
      <c r="K88" s="3">
        <v>27209717</v>
      </c>
      <c r="L88" s="3">
        <f t="shared" si="2"/>
        <v>961485689</v>
      </c>
      <c r="M88" s="4">
        <f>CONVERT(Table10[[#This Row],[Estimation Total]],"byte","Gibyte")</f>
        <v>0.89545332733541727</v>
      </c>
    </row>
    <row r="89" spans="1:13" x14ac:dyDescent="0.2">
      <c r="A89" t="s">
        <v>401</v>
      </c>
      <c r="B89" t="s">
        <v>402</v>
      </c>
      <c r="C89" s="3">
        <v>1037702502</v>
      </c>
      <c r="D89" s="3">
        <v>6674806701</v>
      </c>
      <c r="E89" s="3">
        <v>6949569924</v>
      </c>
      <c r="F89" s="3">
        <v>295</v>
      </c>
      <c r="G89" s="3">
        <v>17997210</v>
      </c>
      <c r="H89" s="3">
        <v>672624115</v>
      </c>
      <c r="I89" s="3">
        <v>427176276</v>
      </c>
      <c r="J89" s="3">
        <v>24915384</v>
      </c>
      <c r="K89" s="3">
        <v>1767619594</v>
      </c>
      <c r="L89" s="3">
        <f t="shared" si="2"/>
        <v>17572412001</v>
      </c>
      <c r="M89" s="4">
        <f>CONVERT(Table10[[#This Row],[Estimation Total]],"byte","Gibyte")</f>
        <v>16.365583986975253</v>
      </c>
    </row>
    <row r="90" spans="1:13" x14ac:dyDescent="0.2">
      <c r="A90" t="s">
        <v>405</v>
      </c>
      <c r="B90" t="s">
        <v>406</v>
      </c>
      <c r="C90" s="3">
        <v>591165</v>
      </c>
      <c r="D90" s="3">
        <v>132570</v>
      </c>
      <c r="E90" s="3">
        <v>521775</v>
      </c>
      <c r="F90" s="3">
        <v>0</v>
      </c>
      <c r="G90" s="3">
        <v>0</v>
      </c>
      <c r="H90" s="3">
        <v>0</v>
      </c>
      <c r="I90" s="3">
        <v>94514</v>
      </c>
      <c r="J90" s="3">
        <v>0</v>
      </c>
      <c r="K90" s="3">
        <v>30330</v>
      </c>
      <c r="L90" s="3">
        <f t="shared" si="2"/>
        <v>1370354</v>
      </c>
      <c r="M90" s="4">
        <f>CONVERT(Table10[[#This Row],[Estimation Total]],"byte","Gibyte")</f>
        <v>1.2762416154146194E-3</v>
      </c>
    </row>
    <row r="91" spans="1:13" x14ac:dyDescent="0.2">
      <c r="A91" t="s">
        <v>409</v>
      </c>
      <c r="B91" t="s">
        <v>410</v>
      </c>
      <c r="C91" s="3">
        <v>5436</v>
      </c>
      <c r="D91" s="3">
        <v>4419</v>
      </c>
      <c r="E91" s="3">
        <v>90441</v>
      </c>
      <c r="F91" s="3">
        <v>0</v>
      </c>
      <c r="G91" s="3">
        <v>0</v>
      </c>
      <c r="H91" s="3">
        <v>0</v>
      </c>
      <c r="I91" s="3">
        <v>162024</v>
      </c>
      <c r="J91" s="3">
        <v>0</v>
      </c>
      <c r="K91" s="3">
        <v>1011</v>
      </c>
      <c r="L91" s="3">
        <f t="shared" si="2"/>
        <v>263331</v>
      </c>
      <c r="M91" s="4">
        <f>CONVERT(Table10[[#This Row],[Estimation Total]],"byte","Gibyte")</f>
        <v>2.4524610489606857E-4</v>
      </c>
    </row>
    <row r="92" spans="1:13" x14ac:dyDescent="0.2">
      <c r="A92" t="s">
        <v>413</v>
      </c>
      <c r="B92" t="s">
        <v>414</v>
      </c>
      <c r="C92" s="3">
        <v>87234210</v>
      </c>
      <c r="D92" s="3">
        <v>130214673</v>
      </c>
      <c r="E92" s="3">
        <v>536384700</v>
      </c>
      <c r="F92" s="3">
        <v>0</v>
      </c>
      <c r="G92" s="3">
        <v>1958880</v>
      </c>
      <c r="H92" s="3">
        <v>332815890</v>
      </c>
      <c r="I92" s="3">
        <v>62217216</v>
      </c>
      <c r="J92" s="3">
        <v>5826912</v>
      </c>
      <c r="K92" s="3">
        <v>29763166</v>
      </c>
      <c r="L92" s="3">
        <f t="shared" si="2"/>
        <v>1186415647</v>
      </c>
      <c r="M92" s="4">
        <f>CONVERT(Table10[[#This Row],[Estimation Total]],"byte","Gibyte")</f>
        <v>1.1049356749281287</v>
      </c>
    </row>
    <row r="93" spans="1:13" x14ac:dyDescent="0.2">
      <c r="A93" t="s">
        <v>417</v>
      </c>
      <c r="B93" t="s">
        <v>418</v>
      </c>
      <c r="C93" s="3">
        <v>752463351</v>
      </c>
      <c r="D93" s="3">
        <v>8057083158</v>
      </c>
      <c r="E93" s="3">
        <v>1652475339</v>
      </c>
      <c r="F93" s="3">
        <v>0</v>
      </c>
      <c r="G93" s="3">
        <v>2931642</v>
      </c>
      <c r="H93" s="3">
        <v>430939652</v>
      </c>
      <c r="I93" s="3">
        <v>162091510</v>
      </c>
      <c r="J93" s="3">
        <v>6380400</v>
      </c>
      <c r="K93" s="3">
        <v>1940295024</v>
      </c>
      <c r="L93" s="3">
        <f t="shared" si="2"/>
        <v>13004660076</v>
      </c>
      <c r="M93" s="4">
        <f>CONVERT(Table10[[#This Row],[Estimation Total]],"byte","Gibyte")</f>
        <v>12.111533503979445</v>
      </c>
    </row>
    <row r="94" spans="1:13" x14ac:dyDescent="0.2">
      <c r="A94" t="s">
        <v>421</v>
      </c>
      <c r="B94" t="s">
        <v>422</v>
      </c>
      <c r="C94" s="3">
        <v>655637319</v>
      </c>
      <c r="D94" s="3">
        <v>1993851327</v>
      </c>
      <c r="E94" s="3">
        <v>321656895</v>
      </c>
      <c r="F94" s="3">
        <v>108250840</v>
      </c>
      <c r="G94" s="3">
        <v>2061276</v>
      </c>
      <c r="H94" s="3">
        <v>124793322</v>
      </c>
      <c r="I94" s="3">
        <v>884516020</v>
      </c>
      <c r="J94" s="3">
        <v>60909264</v>
      </c>
      <c r="K94" s="3">
        <v>572123552</v>
      </c>
      <c r="L94" s="3">
        <f t="shared" si="2"/>
        <v>4723799815</v>
      </c>
      <c r="M94" s="4">
        <f>CONVERT(Table10[[#This Row],[Estimation Total]],"byte","Gibyte")</f>
        <v>4.3993814056739211</v>
      </c>
    </row>
    <row r="95" spans="1:13" x14ac:dyDescent="0.2">
      <c r="A95" t="s">
        <v>426</v>
      </c>
      <c r="B95" t="s">
        <v>427</v>
      </c>
      <c r="C95" s="3">
        <v>227662398</v>
      </c>
      <c r="D95" s="3">
        <v>717969660</v>
      </c>
      <c r="E95" s="3">
        <v>94072554</v>
      </c>
      <c r="F95" s="3">
        <v>0</v>
      </c>
      <c r="G95" s="3">
        <v>0</v>
      </c>
      <c r="H95" s="3">
        <v>0</v>
      </c>
      <c r="I95" s="3">
        <v>877630</v>
      </c>
      <c r="J95" s="3">
        <v>306696</v>
      </c>
      <c r="K95" s="3">
        <v>192457667</v>
      </c>
      <c r="L95" s="3">
        <f t="shared" si="2"/>
        <v>1233346605</v>
      </c>
      <c r="M95" s="4">
        <f>CONVERT(Table10[[#This Row],[Estimation Total]],"byte","Gibyte")</f>
        <v>1.1486435355618596</v>
      </c>
    </row>
    <row r="96" spans="1:13" x14ac:dyDescent="0.2">
      <c r="A96" t="s">
        <v>430</v>
      </c>
      <c r="B96" t="s">
        <v>431</v>
      </c>
      <c r="C96" s="3">
        <v>34567524</v>
      </c>
      <c r="D96" s="3">
        <v>67036230</v>
      </c>
      <c r="E96" s="3">
        <v>633525291</v>
      </c>
      <c r="F96" s="3">
        <v>0</v>
      </c>
      <c r="G96" s="3">
        <v>574308</v>
      </c>
      <c r="H96" s="3">
        <v>440921481</v>
      </c>
      <c r="I96" s="3">
        <v>447672312</v>
      </c>
      <c r="J96" s="3">
        <v>0</v>
      </c>
      <c r="K96" s="3">
        <v>16453688</v>
      </c>
      <c r="L96" s="3">
        <f t="shared" si="2"/>
        <v>1640750834</v>
      </c>
      <c r="M96" s="4">
        <f>CONVERT(Table10[[#This Row],[Estimation Total]],"byte","Gibyte")</f>
        <v>1.5280682910233736</v>
      </c>
    </row>
    <row r="97" spans="1:13" x14ac:dyDescent="0.2">
      <c r="A97" t="s">
        <v>435</v>
      </c>
      <c r="B97" t="s">
        <v>436</v>
      </c>
      <c r="C97" s="3">
        <v>183802032</v>
      </c>
      <c r="D97" s="3">
        <v>321032985</v>
      </c>
      <c r="E97" s="3">
        <v>1235778867</v>
      </c>
      <c r="F97" s="3">
        <v>18761115</v>
      </c>
      <c r="G97" s="3">
        <v>8311884</v>
      </c>
      <c r="H97" s="3">
        <v>1122889570</v>
      </c>
      <c r="I97" s="3">
        <v>319484324</v>
      </c>
      <c r="J97" s="3">
        <v>8058024</v>
      </c>
      <c r="K97" s="3">
        <v>73525986</v>
      </c>
      <c r="L97" s="3">
        <f t="shared" si="2"/>
        <v>3291644787</v>
      </c>
      <c r="M97" s="4">
        <f>CONVERT(Table10[[#This Row],[Estimation Total]],"byte","Gibyte")</f>
        <v>3.0655830977484584</v>
      </c>
    </row>
    <row r="98" spans="1:13" x14ac:dyDescent="0.2">
      <c r="A98" t="s">
        <v>439</v>
      </c>
      <c r="B98" t="s">
        <v>440</v>
      </c>
      <c r="C98" s="3">
        <v>59433147</v>
      </c>
      <c r="D98" s="3">
        <v>84478023</v>
      </c>
      <c r="E98" s="3">
        <v>698058423</v>
      </c>
      <c r="F98" s="3">
        <v>295</v>
      </c>
      <c r="G98" s="3">
        <v>3421362</v>
      </c>
      <c r="H98" s="3">
        <v>539009138</v>
      </c>
      <c r="I98" s="3">
        <v>324844618</v>
      </c>
      <c r="J98" s="3">
        <v>2879448</v>
      </c>
      <c r="K98" s="3">
        <v>19404123</v>
      </c>
      <c r="L98" s="3">
        <f t="shared" ref="L98:L129" si="3">SUM(C98:K98)</f>
        <v>1731528577</v>
      </c>
      <c r="M98" s="4">
        <f>CONVERT(Table10[[#This Row],[Estimation Total]],"byte","Gibyte")</f>
        <v>1.6126116523519158</v>
      </c>
    </row>
    <row r="99" spans="1:13" x14ac:dyDescent="0.2">
      <c r="A99" t="s">
        <v>444</v>
      </c>
      <c r="B99" t="s">
        <v>445</v>
      </c>
      <c r="C99" s="3">
        <v>54861471</v>
      </c>
      <c r="D99" s="3">
        <v>144859239</v>
      </c>
      <c r="E99" s="3">
        <v>264699936</v>
      </c>
      <c r="F99" s="3">
        <v>295</v>
      </c>
      <c r="G99" s="3">
        <v>3822042</v>
      </c>
      <c r="H99" s="3">
        <v>246260170</v>
      </c>
      <c r="I99" s="3">
        <v>105126572</v>
      </c>
      <c r="J99" s="3">
        <v>4008264</v>
      </c>
      <c r="K99" s="3">
        <v>63662333</v>
      </c>
      <c r="L99" s="3">
        <f t="shared" si="3"/>
        <v>887300322</v>
      </c>
      <c r="M99" s="4">
        <f>CONVERT(Table10[[#This Row],[Estimation Total]],"byte","Gibyte")</f>
        <v>0.82636282034218311</v>
      </c>
    </row>
    <row r="100" spans="1:13" x14ac:dyDescent="0.2">
      <c r="A100" t="s">
        <v>449</v>
      </c>
      <c r="B100" t="s">
        <v>450</v>
      </c>
      <c r="C100" s="3">
        <v>811323</v>
      </c>
      <c r="D100" s="3">
        <v>970707</v>
      </c>
      <c r="E100" s="3">
        <v>23424219</v>
      </c>
      <c r="F100" s="3">
        <v>0</v>
      </c>
      <c r="G100" s="3">
        <v>1271046</v>
      </c>
      <c r="H100" s="3">
        <v>32097345</v>
      </c>
      <c r="I100" s="3">
        <v>6264928</v>
      </c>
      <c r="J100" s="3">
        <v>48672</v>
      </c>
      <c r="K100" s="3">
        <v>223431</v>
      </c>
      <c r="L100" s="3">
        <f t="shared" si="3"/>
        <v>65111671</v>
      </c>
      <c r="M100" s="4">
        <f>CONVERT(Table10[[#This Row],[Estimation Total]],"byte","Gibyte")</f>
        <v>6.0639969073235989E-2</v>
      </c>
    </row>
    <row r="101" spans="1:13" x14ac:dyDescent="0.2">
      <c r="A101" t="s">
        <v>454</v>
      </c>
      <c r="B101" t="s">
        <v>455</v>
      </c>
      <c r="C101" s="3">
        <v>5081301</v>
      </c>
      <c r="D101" s="3">
        <v>6386928</v>
      </c>
      <c r="E101" s="3">
        <v>20557935</v>
      </c>
      <c r="F101" s="3">
        <v>0</v>
      </c>
      <c r="G101" s="3">
        <v>2226</v>
      </c>
      <c r="H101" s="3">
        <v>12778763</v>
      </c>
      <c r="I101" s="3">
        <v>4698696</v>
      </c>
      <c r="J101" s="3">
        <v>0</v>
      </c>
      <c r="K101" s="3">
        <v>1524588</v>
      </c>
      <c r="L101" s="3">
        <f t="shared" si="3"/>
        <v>51030437</v>
      </c>
      <c r="M101" s="4">
        <f>CONVERT(Table10[[#This Row],[Estimation Total]],"byte","Gibyte")</f>
        <v>4.7525797970592976E-2</v>
      </c>
    </row>
    <row r="102" spans="1:13" x14ac:dyDescent="0.2">
      <c r="A102" t="s">
        <v>458</v>
      </c>
      <c r="B102" t="s">
        <v>459</v>
      </c>
      <c r="C102" s="3">
        <v>567309114</v>
      </c>
      <c r="D102" s="3">
        <v>3850987632</v>
      </c>
      <c r="E102" s="3">
        <v>1219409046</v>
      </c>
      <c r="F102" s="3">
        <v>2360</v>
      </c>
      <c r="G102" s="3">
        <v>3744132</v>
      </c>
      <c r="H102" s="3">
        <v>792839323</v>
      </c>
      <c r="I102" s="3">
        <v>873498388</v>
      </c>
      <c r="J102" s="3">
        <v>15737904</v>
      </c>
      <c r="K102" s="3">
        <v>1002505241</v>
      </c>
      <c r="L102" s="3">
        <f t="shared" si="3"/>
        <v>8326033140</v>
      </c>
      <c r="M102" s="4">
        <f>CONVERT(Table10[[#This Row],[Estimation Total]],"byte","Gibyte")</f>
        <v>7.7542226202785969</v>
      </c>
    </row>
    <row r="103" spans="1:13" x14ac:dyDescent="0.2">
      <c r="A103" t="s">
        <v>462</v>
      </c>
      <c r="B103" t="s">
        <v>463</v>
      </c>
      <c r="C103" s="3">
        <v>157474125</v>
      </c>
      <c r="D103" s="3">
        <v>357975825</v>
      </c>
      <c r="E103" s="3">
        <v>331640190</v>
      </c>
      <c r="F103" s="3">
        <v>885</v>
      </c>
      <c r="G103" s="3">
        <v>1366764</v>
      </c>
      <c r="H103" s="3">
        <v>325804299</v>
      </c>
      <c r="I103" s="3">
        <v>94486996</v>
      </c>
      <c r="J103" s="3">
        <v>2166840</v>
      </c>
      <c r="K103" s="3">
        <v>82082079</v>
      </c>
      <c r="L103" s="3">
        <f t="shared" si="3"/>
        <v>1352998003</v>
      </c>
      <c r="M103" s="4">
        <f>CONVERT(Table10[[#This Row],[Estimation Total]],"byte","Gibyte")</f>
        <v>1.2600775836035609</v>
      </c>
    </row>
    <row r="104" spans="1:13" x14ac:dyDescent="0.2">
      <c r="A104" t="s">
        <v>466</v>
      </c>
      <c r="B104" t="s">
        <v>467</v>
      </c>
      <c r="C104" s="3">
        <v>116242065</v>
      </c>
      <c r="D104" s="3">
        <v>441631914</v>
      </c>
      <c r="E104" s="3">
        <v>1389848589</v>
      </c>
      <c r="F104" s="3">
        <v>0</v>
      </c>
      <c r="G104" s="3">
        <v>17275986</v>
      </c>
      <c r="H104" s="3">
        <v>1466144619</v>
      </c>
      <c r="I104" s="3">
        <v>126162688</v>
      </c>
      <c r="J104" s="3">
        <v>8618064</v>
      </c>
      <c r="K104" s="3">
        <v>122814595</v>
      </c>
      <c r="L104" s="3">
        <f t="shared" si="3"/>
        <v>3688738520</v>
      </c>
      <c r="M104" s="4">
        <f>CONVERT(Table10[[#This Row],[Estimation Total]],"byte","Gibyte")</f>
        <v>3.4354054555296898</v>
      </c>
    </row>
    <row r="105" spans="1:13" x14ac:dyDescent="0.2">
      <c r="A105" t="s">
        <v>470</v>
      </c>
      <c r="B105" t="s">
        <v>471</v>
      </c>
      <c r="C105" s="3">
        <v>232443360</v>
      </c>
      <c r="D105" s="3">
        <v>789497067</v>
      </c>
      <c r="E105" s="3">
        <v>3253712373</v>
      </c>
      <c r="F105" s="3">
        <v>0</v>
      </c>
      <c r="G105" s="3">
        <v>20062938</v>
      </c>
      <c r="H105" s="3">
        <v>3201733632</v>
      </c>
      <c r="I105" s="3">
        <v>654874004</v>
      </c>
      <c r="J105" s="3">
        <v>13807872</v>
      </c>
      <c r="K105" s="3">
        <v>182890237</v>
      </c>
      <c r="L105" s="3">
        <f t="shared" si="3"/>
        <v>8349021483</v>
      </c>
      <c r="M105" s="4">
        <f>CONVERT(Table10[[#This Row],[Estimation Total]],"byte","Gibyte")</f>
        <v>7.7756321830675006</v>
      </c>
    </row>
    <row r="106" spans="1:13" x14ac:dyDescent="0.2">
      <c r="A106" t="s">
        <v>474</v>
      </c>
      <c r="B106" t="s">
        <v>475</v>
      </c>
      <c r="C106" s="3">
        <v>5929317</v>
      </c>
      <c r="D106" s="3">
        <v>6523917</v>
      </c>
      <c r="E106" s="3">
        <v>1203686226</v>
      </c>
      <c r="F106" s="3">
        <v>7375</v>
      </c>
      <c r="G106" s="3">
        <v>249312</v>
      </c>
      <c r="H106" s="3">
        <v>2861923</v>
      </c>
      <c r="I106" s="3">
        <v>61447602</v>
      </c>
      <c r="J106" s="3">
        <v>312</v>
      </c>
      <c r="K106" s="3">
        <v>1656355</v>
      </c>
      <c r="L106" s="3">
        <f t="shared" si="3"/>
        <v>1282362339</v>
      </c>
      <c r="M106" s="4">
        <f>CONVERT(Table10[[#This Row],[Estimation Total]],"byte","Gibyte")</f>
        <v>1.1942929951474071</v>
      </c>
    </row>
    <row r="107" spans="1:13" x14ac:dyDescent="0.2">
      <c r="A107" t="s">
        <v>478</v>
      </c>
      <c r="B107" t="s">
        <v>479</v>
      </c>
      <c r="C107" s="3">
        <v>145493181</v>
      </c>
      <c r="D107" s="3">
        <v>262297110</v>
      </c>
      <c r="E107" s="3">
        <v>452559807</v>
      </c>
      <c r="F107" s="3">
        <v>0</v>
      </c>
      <c r="G107" s="3">
        <v>0</v>
      </c>
      <c r="H107" s="3">
        <v>201942486</v>
      </c>
      <c r="I107" s="3">
        <v>102736718</v>
      </c>
      <c r="J107" s="3">
        <v>0</v>
      </c>
      <c r="K107" s="3">
        <v>80610400</v>
      </c>
      <c r="L107" s="3">
        <f t="shared" si="3"/>
        <v>1245639702</v>
      </c>
      <c r="M107" s="4">
        <f>CONVERT(Table10[[#This Row],[Estimation Total]],"byte","Gibyte")</f>
        <v>1.1600923743098974</v>
      </c>
    </row>
    <row r="108" spans="1:13" x14ac:dyDescent="0.2">
      <c r="A108" t="s">
        <v>482</v>
      </c>
      <c r="B108" t="s">
        <v>483</v>
      </c>
      <c r="C108" s="3">
        <v>454305546</v>
      </c>
      <c r="D108" s="3">
        <v>2366237511</v>
      </c>
      <c r="E108" s="3">
        <v>1823422743</v>
      </c>
      <c r="F108" s="3">
        <v>0</v>
      </c>
      <c r="G108" s="3">
        <v>0</v>
      </c>
      <c r="H108" s="3">
        <v>0</v>
      </c>
      <c r="I108" s="3">
        <v>95297116</v>
      </c>
      <c r="J108" s="3">
        <v>27843816</v>
      </c>
      <c r="K108" s="3">
        <v>666700243</v>
      </c>
      <c r="L108" s="3">
        <f t="shared" si="3"/>
        <v>5433806975</v>
      </c>
      <c r="M108" s="4">
        <f>CONVERT(Table10[[#This Row],[Estimation Total]],"byte","Gibyte")</f>
        <v>5.0606271019205451</v>
      </c>
    </row>
    <row r="109" spans="1:13" x14ac:dyDescent="0.2">
      <c r="A109" t="s">
        <v>486</v>
      </c>
      <c r="B109" t="s">
        <v>487</v>
      </c>
      <c r="C109" s="3">
        <v>1005854337</v>
      </c>
      <c r="D109" s="3">
        <v>4136110350</v>
      </c>
      <c r="E109" s="3">
        <v>3850741242</v>
      </c>
      <c r="F109" s="3">
        <v>8260</v>
      </c>
      <c r="G109" s="3">
        <v>4084710</v>
      </c>
      <c r="H109" s="3">
        <v>1701231495</v>
      </c>
      <c r="I109" s="3">
        <v>1172878234</v>
      </c>
      <c r="J109" s="3">
        <v>31565040</v>
      </c>
      <c r="K109" s="3">
        <v>1301496696</v>
      </c>
      <c r="L109" s="3">
        <f t="shared" si="3"/>
        <v>13203970364</v>
      </c>
      <c r="M109" s="4">
        <f>CONVERT(Table10[[#This Row],[Estimation Total]],"byte","Gibyte")</f>
        <v>12.297155674546957</v>
      </c>
    </row>
    <row r="110" spans="1:13" x14ac:dyDescent="0.2">
      <c r="A110" t="s">
        <v>490</v>
      </c>
      <c r="B110" t="s">
        <v>491</v>
      </c>
      <c r="C110" s="3">
        <v>720645084</v>
      </c>
      <c r="D110" s="3">
        <v>1418035005</v>
      </c>
      <c r="E110" s="3">
        <v>4404226248</v>
      </c>
      <c r="F110" s="3">
        <v>0</v>
      </c>
      <c r="G110" s="3">
        <v>79134300</v>
      </c>
      <c r="H110" s="3">
        <v>4107738060</v>
      </c>
      <c r="I110" s="3">
        <v>1032511442</v>
      </c>
      <c r="J110" s="3">
        <v>56201808</v>
      </c>
      <c r="K110" s="3">
        <v>324480787</v>
      </c>
      <c r="L110" s="3">
        <f t="shared" si="3"/>
        <v>12142972734</v>
      </c>
      <c r="M110" s="4">
        <f>CONVERT(Table10[[#This Row],[Estimation Total]],"byte","Gibyte")</f>
        <v>11.309024630114436</v>
      </c>
    </row>
    <row r="111" spans="1:13" x14ac:dyDescent="0.2">
      <c r="A111" t="s">
        <v>494</v>
      </c>
      <c r="B111" t="s">
        <v>495</v>
      </c>
      <c r="C111" s="3">
        <v>189547884</v>
      </c>
      <c r="D111" s="3">
        <v>1181272350</v>
      </c>
      <c r="E111" s="3">
        <v>257603796</v>
      </c>
      <c r="F111" s="3">
        <v>0</v>
      </c>
      <c r="G111" s="3">
        <v>66780</v>
      </c>
      <c r="H111" s="3">
        <v>215113590</v>
      </c>
      <c r="I111" s="3">
        <v>94230458</v>
      </c>
      <c r="J111" s="3">
        <v>1027728</v>
      </c>
      <c r="K111" s="3">
        <v>271442042</v>
      </c>
      <c r="L111" s="3">
        <f t="shared" si="3"/>
        <v>2210304628</v>
      </c>
      <c r="M111" s="4">
        <f>CONVERT(Table10[[#This Row],[Estimation Total]],"byte","Gibyte")</f>
        <v>2.0585065968334675</v>
      </c>
    </row>
    <row r="112" spans="1:13" x14ac:dyDescent="0.2">
      <c r="A112" t="s">
        <v>498</v>
      </c>
      <c r="B112" t="s">
        <v>499</v>
      </c>
      <c r="C112" s="3">
        <v>122118381</v>
      </c>
      <c r="D112" s="3">
        <v>250843062</v>
      </c>
      <c r="E112" s="3">
        <v>914789844</v>
      </c>
      <c r="F112" s="3">
        <v>0</v>
      </c>
      <c r="G112" s="3">
        <v>10929660</v>
      </c>
      <c r="H112" s="3">
        <v>852906008</v>
      </c>
      <c r="I112" s="3">
        <v>138409002</v>
      </c>
      <c r="J112" s="3">
        <v>7929480</v>
      </c>
      <c r="K112" s="3">
        <v>73958694</v>
      </c>
      <c r="L112" s="3">
        <f t="shared" si="3"/>
        <v>2371884131</v>
      </c>
      <c r="M112" s="4">
        <f>CONVERT(Table10[[#This Row],[Estimation Total]],"byte","Gibyte")</f>
        <v>2.2089892355725169</v>
      </c>
    </row>
    <row r="113" spans="1:13" x14ac:dyDescent="0.2">
      <c r="A113" t="s">
        <v>502</v>
      </c>
      <c r="B113" t="s">
        <v>503</v>
      </c>
      <c r="C113" s="3">
        <v>1981383948</v>
      </c>
      <c r="D113" s="3">
        <v>32707845687</v>
      </c>
      <c r="E113" s="3">
        <v>2708422713</v>
      </c>
      <c r="F113" s="3">
        <v>15363600</v>
      </c>
      <c r="G113" s="3">
        <v>7610694</v>
      </c>
      <c r="H113" s="3">
        <v>1356857191</v>
      </c>
      <c r="I113" s="3">
        <v>345084116</v>
      </c>
      <c r="J113" s="3">
        <v>14440608</v>
      </c>
      <c r="K113" s="3">
        <v>7827108080</v>
      </c>
      <c r="L113" s="3">
        <f t="shared" si="3"/>
        <v>46964116637</v>
      </c>
      <c r="M113" s="4">
        <f>CONVERT(Table10[[#This Row],[Estimation Total]],"byte","Gibyte")</f>
        <v>43.738742020912468</v>
      </c>
    </row>
    <row r="114" spans="1:13" x14ac:dyDescent="0.2">
      <c r="A114" t="s">
        <v>507</v>
      </c>
      <c r="B114" t="s">
        <v>508</v>
      </c>
      <c r="C114" s="3">
        <v>4844442249</v>
      </c>
      <c r="D114" s="3">
        <v>16913746068</v>
      </c>
      <c r="E114" s="3">
        <v>4307593518</v>
      </c>
      <c r="F114" s="3">
        <v>885</v>
      </c>
      <c r="G114" s="3">
        <v>6072528</v>
      </c>
      <c r="H114" s="3">
        <v>727746822</v>
      </c>
      <c r="I114" s="3">
        <v>421923998</v>
      </c>
      <c r="J114" s="3">
        <v>28993848</v>
      </c>
      <c r="K114" s="3">
        <v>4891938506</v>
      </c>
      <c r="L114" s="3">
        <f t="shared" si="3"/>
        <v>32142458422</v>
      </c>
      <c r="M114" s="4">
        <f>CONVERT(Table10[[#This Row],[Estimation Total]],"byte","Gibyte")</f>
        <v>29.934997132048011</v>
      </c>
    </row>
    <row r="115" spans="1:13" x14ac:dyDescent="0.2">
      <c r="A115" t="s">
        <v>511</v>
      </c>
      <c r="B115" t="s">
        <v>512</v>
      </c>
      <c r="C115" s="3">
        <v>507385368</v>
      </c>
      <c r="D115" s="3">
        <v>2566916085</v>
      </c>
      <c r="E115" s="3">
        <v>518206059</v>
      </c>
      <c r="F115" s="3">
        <v>1180</v>
      </c>
      <c r="G115" s="3">
        <v>0</v>
      </c>
      <c r="H115" s="3">
        <v>416411</v>
      </c>
      <c r="I115" s="3">
        <v>29339846</v>
      </c>
      <c r="J115" s="3">
        <v>1581216</v>
      </c>
      <c r="K115" s="3">
        <v>714658376</v>
      </c>
      <c r="L115" s="3">
        <f t="shared" si="3"/>
        <v>4338504541</v>
      </c>
      <c r="M115" s="4">
        <f>CONVERT(Table10[[#This Row],[Estimation Total]],"byte","Gibyte")</f>
        <v>4.0405472191050649</v>
      </c>
    </row>
    <row r="116" spans="1:13" x14ac:dyDescent="0.2">
      <c r="A116" t="s">
        <v>515</v>
      </c>
      <c r="B116" t="s">
        <v>516</v>
      </c>
      <c r="C116" s="3">
        <v>186779601</v>
      </c>
      <c r="D116" s="3">
        <v>651045378</v>
      </c>
      <c r="E116" s="3">
        <v>253798317</v>
      </c>
      <c r="F116" s="3">
        <v>0</v>
      </c>
      <c r="G116" s="3">
        <v>4278372</v>
      </c>
      <c r="H116" s="3">
        <v>208800029</v>
      </c>
      <c r="I116" s="3">
        <v>159971696</v>
      </c>
      <c r="J116" s="3">
        <v>6203184</v>
      </c>
      <c r="K116" s="3">
        <v>181254439</v>
      </c>
      <c r="L116" s="3">
        <f t="shared" si="3"/>
        <v>1652131016</v>
      </c>
      <c r="M116" s="4">
        <f>CONVERT(Table10[[#This Row],[Estimation Total]],"byte","Gibyte")</f>
        <v>1.5386669114232063</v>
      </c>
    </row>
    <row r="117" spans="1:13" x14ac:dyDescent="0.2">
      <c r="A117" t="s">
        <v>520</v>
      </c>
      <c r="B117" t="s">
        <v>521</v>
      </c>
      <c r="C117" s="3">
        <v>298547838</v>
      </c>
      <c r="D117" s="3">
        <v>1971930141</v>
      </c>
      <c r="E117" s="3">
        <v>310205673</v>
      </c>
      <c r="F117" s="3">
        <v>0</v>
      </c>
      <c r="G117" s="3">
        <v>5458152</v>
      </c>
      <c r="H117" s="3">
        <v>216466324</v>
      </c>
      <c r="I117" s="3">
        <v>53670450</v>
      </c>
      <c r="J117" s="3">
        <v>4894344</v>
      </c>
      <c r="K117" s="3">
        <v>487966901</v>
      </c>
      <c r="L117" s="3">
        <f t="shared" si="3"/>
        <v>3349139823</v>
      </c>
      <c r="M117" s="4">
        <f>CONVERT(Table10[[#This Row],[Estimation Total]],"byte","Gibyte")</f>
        <v>3.119129522703588</v>
      </c>
    </row>
    <row r="118" spans="1:13" x14ac:dyDescent="0.2">
      <c r="A118" t="s">
        <v>524</v>
      </c>
      <c r="B118" t="s">
        <v>525</v>
      </c>
      <c r="C118" s="3">
        <v>526153158</v>
      </c>
      <c r="D118" s="3">
        <v>1206426771</v>
      </c>
      <c r="E118" s="3">
        <v>38374812</v>
      </c>
      <c r="F118" s="3">
        <v>0</v>
      </c>
      <c r="G118" s="3">
        <v>1182006</v>
      </c>
      <c r="H118" s="3">
        <v>29680717</v>
      </c>
      <c r="I118" s="3">
        <v>22548340</v>
      </c>
      <c r="J118" s="3">
        <v>2250456</v>
      </c>
      <c r="K118" s="3">
        <v>674493368</v>
      </c>
      <c r="L118" s="3">
        <f t="shared" si="3"/>
        <v>2501109628</v>
      </c>
      <c r="M118" s="4">
        <f>CONVERT(Table10[[#This Row],[Estimation Total]],"byte","Gibyte")</f>
        <v>2.3293398581445217</v>
      </c>
    </row>
    <row r="119" spans="1:13" x14ac:dyDescent="0.2">
      <c r="A119" t="s">
        <v>527</v>
      </c>
      <c r="B119" t="s">
        <v>528</v>
      </c>
      <c r="C119" s="3">
        <v>0</v>
      </c>
      <c r="D119" s="3">
        <v>0</v>
      </c>
      <c r="E119" s="3">
        <v>0</v>
      </c>
      <c r="F119" s="3">
        <v>0</v>
      </c>
      <c r="G119" s="3">
        <v>0</v>
      </c>
      <c r="H119" s="3">
        <v>0</v>
      </c>
      <c r="I119" s="3">
        <v>0</v>
      </c>
      <c r="J119" s="3">
        <v>0</v>
      </c>
      <c r="K119" s="3">
        <v>0</v>
      </c>
      <c r="L119" s="3">
        <f t="shared" si="3"/>
        <v>0</v>
      </c>
      <c r="M119" s="4">
        <f>CONVERT(Table10[[#This Row],[Estimation Total]],"byte","Gibyte")</f>
        <v>0</v>
      </c>
    </row>
    <row r="120" spans="1:13" x14ac:dyDescent="0.2">
      <c r="A120" t="s">
        <v>532</v>
      </c>
      <c r="B120" t="s">
        <v>533</v>
      </c>
      <c r="C120" s="3">
        <v>262232640</v>
      </c>
      <c r="D120" s="3">
        <v>905192379</v>
      </c>
      <c r="E120" s="3">
        <v>2382299424</v>
      </c>
      <c r="F120" s="3">
        <v>0</v>
      </c>
      <c r="G120" s="3">
        <v>616602</v>
      </c>
      <c r="H120" s="3">
        <v>5484159347</v>
      </c>
      <c r="I120" s="3">
        <v>356236768</v>
      </c>
      <c r="J120" s="3">
        <v>0</v>
      </c>
      <c r="K120" s="3">
        <v>208558853</v>
      </c>
      <c r="L120" s="3">
        <f t="shared" si="3"/>
        <v>9599296013</v>
      </c>
      <c r="M120" s="4">
        <f>CONVERT(Table10[[#This Row],[Estimation Total]],"byte","Gibyte")</f>
        <v>8.9400410773232579</v>
      </c>
    </row>
    <row r="121" spans="1:13" x14ac:dyDescent="0.2">
      <c r="A121" t="s">
        <v>537</v>
      </c>
      <c r="B121" t="s">
        <v>538</v>
      </c>
      <c r="C121" s="3">
        <v>227179953</v>
      </c>
      <c r="D121" s="3">
        <v>389574621</v>
      </c>
      <c r="E121" s="3">
        <v>18881298</v>
      </c>
      <c r="F121" s="3">
        <v>0</v>
      </c>
      <c r="G121" s="3">
        <v>0</v>
      </c>
      <c r="H121" s="3">
        <v>0</v>
      </c>
      <c r="I121" s="3">
        <v>6818510</v>
      </c>
      <c r="J121" s="3">
        <v>0</v>
      </c>
      <c r="K121" s="3">
        <v>111558795</v>
      </c>
      <c r="L121" s="3">
        <f t="shared" si="3"/>
        <v>754013177</v>
      </c>
      <c r="M121" s="4">
        <f>CONVERT(Table10[[#This Row],[Estimation Total]],"byte","Gibyte")</f>
        <v>0.70222949329763651</v>
      </c>
    </row>
    <row r="122" spans="1:13" x14ac:dyDescent="0.2">
      <c r="A122" t="s">
        <v>541</v>
      </c>
      <c r="B122" t="s">
        <v>542</v>
      </c>
      <c r="C122" s="3">
        <v>1328124879</v>
      </c>
      <c r="D122" s="3">
        <v>3606553593</v>
      </c>
      <c r="E122" s="3">
        <v>6465988854</v>
      </c>
      <c r="F122" s="3">
        <v>590</v>
      </c>
      <c r="G122" s="3">
        <v>71808534</v>
      </c>
      <c r="H122" s="3">
        <v>6319325765</v>
      </c>
      <c r="I122" s="3">
        <v>935634592</v>
      </c>
      <c r="J122" s="3">
        <v>57232968</v>
      </c>
      <c r="K122" s="3">
        <v>825125628</v>
      </c>
      <c r="L122" s="3">
        <f t="shared" si="3"/>
        <v>19609795403</v>
      </c>
      <c r="M122" s="4">
        <f>CONVERT(Table10[[#This Row],[Estimation Total]],"byte","Gibyte")</f>
        <v>18.263045142404735</v>
      </c>
    </row>
    <row r="123" spans="1:13" x14ac:dyDescent="0.2">
      <c r="A123" s="1" t="s">
        <v>545</v>
      </c>
      <c r="B123" t="s">
        <v>546</v>
      </c>
      <c r="C123" s="3">
        <v>1204098462</v>
      </c>
      <c r="D123" s="3">
        <v>3531250887</v>
      </c>
      <c r="E123" s="3">
        <v>4447985778</v>
      </c>
      <c r="F123" s="3">
        <v>0</v>
      </c>
      <c r="G123" s="3">
        <v>2141412</v>
      </c>
      <c r="H123" s="3">
        <v>526256852</v>
      </c>
      <c r="I123" s="3">
        <v>439301072</v>
      </c>
      <c r="J123" s="3">
        <v>5475912</v>
      </c>
      <c r="K123" s="3">
        <v>1170679699</v>
      </c>
      <c r="L123" s="3">
        <f t="shared" si="3"/>
        <v>11327190074</v>
      </c>
      <c r="M123" s="4">
        <f>CONVERT(Table10[[#This Row],[Estimation Total]],"byte","Gibyte")</f>
        <v>10.549267822876573</v>
      </c>
    </row>
    <row r="124" spans="1:13" x14ac:dyDescent="0.2">
      <c r="A124" t="s">
        <v>550</v>
      </c>
      <c r="B124" t="s">
        <v>551</v>
      </c>
      <c r="C124" s="3">
        <v>5436</v>
      </c>
      <c r="D124" s="3">
        <v>5892</v>
      </c>
      <c r="E124" s="3">
        <v>83484</v>
      </c>
      <c r="F124" s="3">
        <v>0</v>
      </c>
      <c r="G124" s="3">
        <v>0</v>
      </c>
      <c r="H124" s="3">
        <v>74617</v>
      </c>
      <c r="I124" s="3">
        <v>40506</v>
      </c>
      <c r="J124" s="3">
        <v>0</v>
      </c>
      <c r="K124" s="3">
        <v>1348</v>
      </c>
      <c r="L124" s="3">
        <f t="shared" si="3"/>
        <v>211283</v>
      </c>
      <c r="M124" s="4">
        <f>CONVERT(Table10[[#This Row],[Estimation Total]],"byte","Gibyte")</f>
        <v>1.9677262753248215E-4</v>
      </c>
    </row>
    <row r="125" spans="1:13" x14ac:dyDescent="0.2">
      <c r="A125" t="s">
        <v>554</v>
      </c>
      <c r="B125" t="s">
        <v>555</v>
      </c>
      <c r="C125" s="3">
        <v>40212810</v>
      </c>
      <c r="D125" s="3">
        <v>120261612</v>
      </c>
      <c r="E125" s="3">
        <v>540440631</v>
      </c>
      <c r="F125" s="3">
        <v>0</v>
      </c>
      <c r="G125" s="3">
        <v>7385868</v>
      </c>
      <c r="H125" s="3">
        <v>633002488</v>
      </c>
      <c r="I125" s="3">
        <v>48917746</v>
      </c>
      <c r="J125" s="3">
        <v>3843840</v>
      </c>
      <c r="K125" s="3">
        <v>27516050</v>
      </c>
      <c r="L125" s="3">
        <f t="shared" si="3"/>
        <v>1421581045</v>
      </c>
      <c r="M125" s="4">
        <f>CONVERT(Table10[[#This Row],[Estimation Total]],"byte","Gibyte")</f>
        <v>1.3239505188539624</v>
      </c>
    </row>
    <row r="126" spans="1:13" x14ac:dyDescent="0.2">
      <c r="A126" t="s">
        <v>558</v>
      </c>
      <c r="B126" t="s">
        <v>559</v>
      </c>
      <c r="C126" s="3">
        <v>20851137</v>
      </c>
      <c r="D126" s="3">
        <v>34444632</v>
      </c>
      <c r="E126" s="3">
        <v>117997677</v>
      </c>
      <c r="F126" s="3">
        <v>0</v>
      </c>
      <c r="G126" s="3">
        <v>3185406</v>
      </c>
      <c r="H126" s="3">
        <v>101712599</v>
      </c>
      <c r="I126" s="3">
        <v>24843680</v>
      </c>
      <c r="J126" s="3">
        <v>1778400</v>
      </c>
      <c r="K126" s="3">
        <v>7890518</v>
      </c>
      <c r="L126" s="3">
        <f t="shared" si="3"/>
        <v>312704049</v>
      </c>
      <c r="M126" s="4">
        <f>CONVERT(Table10[[#This Row],[Estimation Total]],"byte","Gibyte")</f>
        <v>0.29122834000736475</v>
      </c>
    </row>
    <row r="127" spans="1:13" x14ac:dyDescent="0.2">
      <c r="A127" t="s">
        <v>562</v>
      </c>
      <c r="B127" t="s">
        <v>563</v>
      </c>
      <c r="C127" s="3">
        <v>2718</v>
      </c>
      <c r="D127" s="3">
        <v>2946</v>
      </c>
      <c r="E127" s="3">
        <v>34785</v>
      </c>
      <c r="F127" s="3">
        <v>0</v>
      </c>
      <c r="G127" s="3">
        <v>0</v>
      </c>
      <c r="H127" s="3">
        <v>33698</v>
      </c>
      <c r="I127" s="3">
        <v>27004</v>
      </c>
      <c r="J127" s="3">
        <v>0</v>
      </c>
      <c r="K127" s="3">
        <v>674</v>
      </c>
      <c r="L127" s="3">
        <f t="shared" si="3"/>
        <v>101825</v>
      </c>
      <c r="M127" s="4">
        <f>CONVERT(Table10[[#This Row],[Estimation Total]],"byte","Gibyte")</f>
        <v>9.48319211602211E-5</v>
      </c>
    </row>
    <row r="128" spans="1:13" x14ac:dyDescent="0.2">
      <c r="A128" t="s">
        <v>567</v>
      </c>
      <c r="B128" t="s">
        <v>568</v>
      </c>
      <c r="C128" s="3">
        <v>11720016</v>
      </c>
      <c r="D128" s="3">
        <v>16394490</v>
      </c>
      <c r="E128" s="3">
        <v>407019285</v>
      </c>
      <c r="F128" s="3">
        <v>0</v>
      </c>
      <c r="G128" s="3">
        <v>22620612</v>
      </c>
      <c r="H128" s="3">
        <v>322080670</v>
      </c>
      <c r="I128" s="3">
        <v>460688240</v>
      </c>
      <c r="J128" s="3">
        <v>3237312</v>
      </c>
      <c r="K128" s="3">
        <v>6078132</v>
      </c>
      <c r="L128" s="3">
        <f t="shared" si="3"/>
        <v>1249838757</v>
      </c>
      <c r="M128" s="4">
        <f>CONVERT(Table10[[#This Row],[Estimation Total]],"byte","Gibyte")</f>
        <v>1.1640030490234494</v>
      </c>
    </row>
    <row r="129" spans="1:13" x14ac:dyDescent="0.2">
      <c r="A129" t="s">
        <v>572</v>
      </c>
      <c r="B129" t="s">
        <v>573</v>
      </c>
      <c r="C129" s="3">
        <v>129692088</v>
      </c>
      <c r="D129" s="3">
        <v>1128948444</v>
      </c>
      <c r="E129" s="3">
        <v>1999587897</v>
      </c>
      <c r="F129" s="3">
        <v>0</v>
      </c>
      <c r="G129" s="3">
        <v>38525382</v>
      </c>
      <c r="H129" s="3">
        <v>1245117030</v>
      </c>
      <c r="I129" s="3">
        <v>184869384</v>
      </c>
      <c r="J129" s="3">
        <v>49081656</v>
      </c>
      <c r="K129" s="3">
        <v>245725909</v>
      </c>
      <c r="L129" s="3">
        <f t="shared" si="3"/>
        <v>5021547790</v>
      </c>
      <c r="M129" s="4">
        <f>CONVERT(Table10[[#This Row],[Estimation Total]],"byte","Gibyte")</f>
        <v>4.6766808163374662</v>
      </c>
    </row>
    <row r="130" spans="1:13" x14ac:dyDescent="0.2">
      <c r="A130" t="s">
        <v>577</v>
      </c>
      <c r="B130" t="s">
        <v>578</v>
      </c>
      <c r="C130" s="3">
        <v>275427171</v>
      </c>
      <c r="D130" s="3">
        <v>1191979587</v>
      </c>
      <c r="E130" s="3">
        <v>516028518</v>
      </c>
      <c r="F130" s="3">
        <v>0</v>
      </c>
      <c r="G130" s="3">
        <v>0</v>
      </c>
      <c r="H130" s="3">
        <v>12035</v>
      </c>
      <c r="I130" s="3">
        <v>5211772</v>
      </c>
      <c r="J130" s="3">
        <v>936</v>
      </c>
      <c r="K130" s="3">
        <v>302592974</v>
      </c>
      <c r="L130" s="3">
        <f t="shared" ref="L130:L161" si="4">SUM(C130:K130)</f>
        <v>2291252993</v>
      </c>
      <c r="M130" s="4">
        <f>CONVERT(Table10[[#This Row],[Estimation Total]],"byte","Gibyte")</f>
        <v>2.133895636536181</v>
      </c>
    </row>
    <row r="131" spans="1:13" x14ac:dyDescent="0.2">
      <c r="A131" t="s">
        <v>581</v>
      </c>
      <c r="B131" t="s">
        <v>582</v>
      </c>
      <c r="C131" s="3">
        <v>196474707</v>
      </c>
      <c r="D131" s="3">
        <v>1035890196</v>
      </c>
      <c r="E131" s="3">
        <v>217997595</v>
      </c>
      <c r="F131" s="3">
        <v>0</v>
      </c>
      <c r="G131" s="3">
        <v>0</v>
      </c>
      <c r="H131" s="3">
        <v>190153</v>
      </c>
      <c r="I131" s="3">
        <v>6548470</v>
      </c>
      <c r="J131" s="3">
        <v>0</v>
      </c>
      <c r="K131" s="3">
        <v>288118150</v>
      </c>
      <c r="L131" s="3">
        <f t="shared" si="4"/>
        <v>1745219271</v>
      </c>
      <c r="M131" s="4">
        <f>CONVERT(Table10[[#This Row],[Estimation Total]],"byte","Gibyte")</f>
        <v>1.6253621047362685</v>
      </c>
    </row>
    <row r="132" spans="1:13" x14ac:dyDescent="0.2">
      <c r="A132" t="s">
        <v>586</v>
      </c>
      <c r="B132" t="s">
        <v>587</v>
      </c>
      <c r="C132" s="3">
        <v>656874009</v>
      </c>
      <c r="D132" s="3">
        <v>2238042321</v>
      </c>
      <c r="E132" s="3">
        <v>386614404</v>
      </c>
      <c r="F132" s="3">
        <v>0</v>
      </c>
      <c r="G132" s="3">
        <v>1066254</v>
      </c>
      <c r="H132" s="3">
        <v>281173705</v>
      </c>
      <c r="I132" s="3">
        <v>20968606</v>
      </c>
      <c r="J132" s="3">
        <v>16773120</v>
      </c>
      <c r="K132" s="3">
        <v>538496007</v>
      </c>
      <c r="L132" s="3">
        <f t="shared" si="4"/>
        <v>4140008426</v>
      </c>
      <c r="M132" s="4">
        <f>CONVERT(Table10[[#This Row],[Estimation Total]],"byte","Gibyte")</f>
        <v>3.8556833062320948</v>
      </c>
    </row>
    <row r="133" spans="1:13" x14ac:dyDescent="0.2">
      <c r="A133" t="s">
        <v>591</v>
      </c>
      <c r="B133" t="s">
        <v>592</v>
      </c>
      <c r="C133" s="3">
        <v>2168357886</v>
      </c>
      <c r="D133" s="3">
        <v>8373166863</v>
      </c>
      <c r="E133" s="3">
        <v>5357182194</v>
      </c>
      <c r="F133" s="3">
        <v>0</v>
      </c>
      <c r="G133" s="3">
        <v>0</v>
      </c>
      <c r="H133" s="3">
        <v>0</v>
      </c>
      <c r="I133" s="3">
        <v>31270632</v>
      </c>
      <c r="J133" s="3">
        <v>0</v>
      </c>
      <c r="K133" s="3">
        <v>1484854015</v>
      </c>
      <c r="L133" s="3">
        <f t="shared" si="4"/>
        <v>17414831590</v>
      </c>
      <c r="M133" s="4">
        <f>CONVERT(Table10[[#This Row],[Estimation Total]],"byte","Gibyte")</f>
        <v>16.218825792893767</v>
      </c>
    </row>
    <row r="134" spans="1:13" x14ac:dyDescent="0.2">
      <c r="A134" t="s">
        <v>595</v>
      </c>
      <c r="B134" t="s">
        <v>596</v>
      </c>
      <c r="C134" s="3">
        <v>2240991</v>
      </c>
      <c r="D134" s="3">
        <v>2537979</v>
      </c>
      <c r="E134" s="3">
        <v>11486007</v>
      </c>
      <c r="F134" s="3">
        <v>0</v>
      </c>
      <c r="G134" s="3">
        <v>8904</v>
      </c>
      <c r="H134" s="3">
        <v>11052944</v>
      </c>
      <c r="I134" s="3">
        <v>6305434</v>
      </c>
      <c r="J134" s="3">
        <v>0</v>
      </c>
      <c r="K134" s="3">
        <v>594131</v>
      </c>
      <c r="L134" s="3">
        <f t="shared" si="4"/>
        <v>34226390</v>
      </c>
      <c r="M134" s="4">
        <f>CONVERT(Table10[[#This Row],[Estimation Total]],"byte","Gibyte")</f>
        <v>3.1875809654593468E-2</v>
      </c>
    </row>
    <row r="135" spans="1:13" x14ac:dyDescent="0.2">
      <c r="A135" t="s">
        <v>600</v>
      </c>
      <c r="B135" t="s">
        <v>601</v>
      </c>
      <c r="C135" s="3">
        <v>848324493</v>
      </c>
      <c r="D135" s="3">
        <v>8147051052</v>
      </c>
      <c r="E135" s="3">
        <v>301168530</v>
      </c>
      <c r="F135" s="3">
        <v>0</v>
      </c>
      <c r="G135" s="3">
        <v>0</v>
      </c>
      <c r="H135" s="3">
        <v>0</v>
      </c>
      <c r="I135" s="3">
        <v>11665728</v>
      </c>
      <c r="J135" s="3">
        <v>0</v>
      </c>
      <c r="K135" s="3">
        <v>1938492074</v>
      </c>
      <c r="L135" s="3">
        <f t="shared" si="4"/>
        <v>11246701877</v>
      </c>
      <c r="M135" s="4">
        <f>CONVERT(Table10[[#This Row],[Estimation Total]],"byte","Gibyte")</f>
        <v>10.474307348020375</v>
      </c>
    </row>
    <row r="136" spans="1:13" x14ac:dyDescent="0.2">
      <c r="A136" t="s">
        <v>604</v>
      </c>
      <c r="B136" t="s">
        <v>605</v>
      </c>
      <c r="C136" s="3">
        <v>130828212</v>
      </c>
      <c r="D136" s="3">
        <v>1038501825</v>
      </c>
      <c r="E136" s="3">
        <v>268853265</v>
      </c>
      <c r="F136" s="3">
        <v>0</v>
      </c>
      <c r="G136" s="3">
        <v>914886</v>
      </c>
      <c r="H136" s="3">
        <v>87128586</v>
      </c>
      <c r="I136" s="3">
        <v>28651244</v>
      </c>
      <c r="J136" s="3">
        <v>1967784</v>
      </c>
      <c r="K136" s="3">
        <v>252373908</v>
      </c>
      <c r="L136" s="3">
        <f t="shared" si="4"/>
        <v>1809219710</v>
      </c>
      <c r="M136" s="4">
        <f>CONVERT(Table10[[#This Row],[Estimation Total]],"byte","Gibyte")</f>
        <v>1.6849671583622694</v>
      </c>
    </row>
    <row r="137" spans="1:13" x14ac:dyDescent="0.2">
      <c r="A137" t="s">
        <v>608</v>
      </c>
      <c r="B137" t="s">
        <v>609</v>
      </c>
      <c r="C137" s="3">
        <v>457026264</v>
      </c>
      <c r="D137" s="3">
        <v>2014711953</v>
      </c>
      <c r="E137" s="3">
        <v>2655326889</v>
      </c>
      <c r="F137" s="3">
        <v>0</v>
      </c>
      <c r="G137" s="3">
        <v>0</v>
      </c>
      <c r="H137" s="3">
        <v>0</v>
      </c>
      <c r="I137" s="3">
        <v>6251426</v>
      </c>
      <c r="J137" s="3">
        <v>0</v>
      </c>
      <c r="K137" s="3">
        <v>671306022</v>
      </c>
      <c r="L137" s="3">
        <f t="shared" si="4"/>
        <v>5804622554</v>
      </c>
      <c r="M137" s="4">
        <f>CONVERT(Table10[[#This Row],[Estimation Total]],"byte","Gibyte")</f>
        <v>5.4059760216623545</v>
      </c>
    </row>
    <row r="138" spans="1:13" x14ac:dyDescent="0.2">
      <c r="A138" t="s">
        <v>612</v>
      </c>
      <c r="B138" t="s">
        <v>613</v>
      </c>
      <c r="C138" s="3">
        <v>93323889</v>
      </c>
      <c r="D138" s="3">
        <v>197577909</v>
      </c>
      <c r="E138" s="3">
        <v>936822663</v>
      </c>
      <c r="F138" s="3">
        <v>0</v>
      </c>
      <c r="G138" s="3">
        <v>13965924</v>
      </c>
      <c r="H138" s="3">
        <v>948365221</v>
      </c>
      <c r="I138" s="3">
        <v>289442374</v>
      </c>
      <c r="J138" s="3">
        <v>20054112</v>
      </c>
      <c r="K138" s="3">
        <v>45201473</v>
      </c>
      <c r="L138" s="3">
        <f t="shared" si="4"/>
        <v>2544753565</v>
      </c>
      <c r="M138" s="4">
        <f>CONVERT(Table10[[#This Row],[Estimation Total]],"byte","Gibyte")</f>
        <v>2.3699864419177175</v>
      </c>
    </row>
    <row r="139" spans="1:13" x14ac:dyDescent="0.2">
      <c r="A139" t="s">
        <v>616</v>
      </c>
      <c r="B139" t="s">
        <v>617</v>
      </c>
      <c r="C139" s="3">
        <v>184762845</v>
      </c>
      <c r="D139" s="3">
        <v>1897592250</v>
      </c>
      <c r="E139" s="3">
        <v>3649941351</v>
      </c>
      <c r="F139" s="3">
        <v>0</v>
      </c>
      <c r="G139" s="3">
        <v>150898314</v>
      </c>
      <c r="H139" s="3">
        <v>1555160293</v>
      </c>
      <c r="I139" s="3">
        <v>0</v>
      </c>
      <c r="J139" s="3">
        <v>117592488</v>
      </c>
      <c r="K139" s="3">
        <v>471035347</v>
      </c>
      <c r="L139" s="3">
        <f t="shared" si="4"/>
        <v>8026982888</v>
      </c>
      <c r="M139" s="4">
        <f>CONVERT(Table10[[#This Row],[Estimation Total]],"byte","Gibyte")</f>
        <v>7.4757103696465492</v>
      </c>
    </row>
    <row r="140" spans="1:13" x14ac:dyDescent="0.2">
      <c r="A140" t="s">
        <v>621</v>
      </c>
      <c r="B140" t="s">
        <v>622</v>
      </c>
      <c r="C140" s="3">
        <v>111637773</v>
      </c>
      <c r="D140" s="3">
        <v>154355670</v>
      </c>
      <c r="E140" s="3">
        <v>385563897</v>
      </c>
      <c r="F140" s="3">
        <v>0</v>
      </c>
      <c r="G140" s="3">
        <v>712320</v>
      </c>
      <c r="H140" s="3">
        <v>312698184</v>
      </c>
      <c r="I140" s="3">
        <v>93055784</v>
      </c>
      <c r="J140" s="3">
        <v>11962704</v>
      </c>
      <c r="K140" s="3">
        <v>35358714</v>
      </c>
      <c r="L140" s="3">
        <f t="shared" si="4"/>
        <v>1105345046</v>
      </c>
      <c r="M140" s="4">
        <f>CONVERT(Table10[[#This Row],[Estimation Total]],"byte","Gibyte")</f>
        <v>1.0294327940791845</v>
      </c>
    </row>
    <row r="141" spans="1:13" x14ac:dyDescent="0.2">
      <c r="A141" t="s">
        <v>625</v>
      </c>
      <c r="B141" t="s">
        <v>626</v>
      </c>
      <c r="C141" s="3">
        <v>12239154</v>
      </c>
      <c r="D141" s="3">
        <v>16724442</v>
      </c>
      <c r="E141" s="3">
        <v>77466195</v>
      </c>
      <c r="F141" s="3">
        <v>3540</v>
      </c>
      <c r="G141" s="3">
        <v>1366764</v>
      </c>
      <c r="H141" s="3">
        <v>46491205</v>
      </c>
      <c r="I141" s="3">
        <v>29029300</v>
      </c>
      <c r="J141" s="3">
        <v>3394248</v>
      </c>
      <c r="K141" s="3">
        <v>3825961</v>
      </c>
      <c r="L141" s="3">
        <f t="shared" si="4"/>
        <v>190540809</v>
      </c>
      <c r="M141" s="4">
        <f>CONVERT(Table10[[#This Row],[Estimation Total]],"byte","Gibyte")</f>
        <v>0.17745495680719614</v>
      </c>
    </row>
    <row r="142" spans="1:13" x14ac:dyDescent="0.2">
      <c r="A142" t="s">
        <v>629</v>
      </c>
      <c r="B142" t="s">
        <v>630</v>
      </c>
      <c r="C142" s="3">
        <v>18585684</v>
      </c>
      <c r="D142" s="3">
        <v>57774006</v>
      </c>
      <c r="E142" s="3">
        <v>39961008</v>
      </c>
      <c r="F142" s="3">
        <v>0</v>
      </c>
      <c r="G142" s="3">
        <v>2148090</v>
      </c>
      <c r="H142" s="3">
        <v>23518797</v>
      </c>
      <c r="I142" s="3">
        <v>11908764</v>
      </c>
      <c r="J142" s="3">
        <v>1872312</v>
      </c>
      <c r="K142" s="3">
        <v>19990503</v>
      </c>
      <c r="L142" s="3">
        <f t="shared" si="4"/>
        <v>175759164</v>
      </c>
      <c r="M142" s="4">
        <f>CONVERT(Table10[[#This Row],[Estimation Total]],"byte","Gibyte")</f>
        <v>0.16368847712874413</v>
      </c>
    </row>
    <row r="143" spans="1:13" x14ac:dyDescent="0.2">
      <c r="A143" t="s">
        <v>634</v>
      </c>
      <c r="B143" t="s">
        <v>635</v>
      </c>
      <c r="C143" s="3">
        <v>1784805957</v>
      </c>
      <c r="D143" s="3">
        <v>5533349541</v>
      </c>
      <c r="E143" s="3">
        <v>350389305</v>
      </c>
      <c r="F143" s="3">
        <v>0</v>
      </c>
      <c r="G143" s="3">
        <v>0</v>
      </c>
      <c r="H143" s="3">
        <v>0</v>
      </c>
      <c r="I143" s="3">
        <v>31054600</v>
      </c>
      <c r="J143" s="3">
        <v>0</v>
      </c>
      <c r="K143" s="3">
        <v>2554783520</v>
      </c>
      <c r="L143" s="3">
        <f t="shared" si="4"/>
        <v>10254382923</v>
      </c>
      <c r="M143" s="4">
        <f>CONVERT(Table10[[#This Row],[Estimation Total]],"byte","Gibyte")</f>
        <v>9.5501383049413562</v>
      </c>
    </row>
    <row r="144" spans="1:13" x14ac:dyDescent="0.2">
      <c r="A144" t="s">
        <v>638</v>
      </c>
      <c r="B144" t="s">
        <v>639</v>
      </c>
      <c r="C144" s="3">
        <v>17044578</v>
      </c>
      <c r="D144" s="3">
        <v>35350527</v>
      </c>
      <c r="E144" s="3">
        <v>195728238</v>
      </c>
      <c r="F144" s="3">
        <v>0</v>
      </c>
      <c r="G144" s="3">
        <v>8423184</v>
      </c>
      <c r="H144" s="3">
        <v>160556528</v>
      </c>
      <c r="I144" s="3">
        <v>191714898</v>
      </c>
      <c r="J144" s="3">
        <v>68640</v>
      </c>
      <c r="K144" s="3">
        <v>8166184</v>
      </c>
      <c r="L144" s="3">
        <f t="shared" si="4"/>
        <v>617052777</v>
      </c>
      <c r="M144" s="4">
        <f>CONVERT(Table10[[#This Row],[Estimation Total]],"byte","Gibyte")</f>
        <v>0.57467518094927073</v>
      </c>
    </row>
    <row r="145" spans="1:13" x14ac:dyDescent="0.2">
      <c r="A145" t="s">
        <v>642</v>
      </c>
      <c r="B145" t="s">
        <v>643</v>
      </c>
      <c r="C145" s="3">
        <v>74905362</v>
      </c>
      <c r="D145" s="3">
        <v>463308582</v>
      </c>
      <c r="E145" s="3">
        <v>1439709408</v>
      </c>
      <c r="F145" s="3">
        <v>0</v>
      </c>
      <c r="G145" s="3">
        <v>97621230</v>
      </c>
      <c r="H145" s="3">
        <v>1505347428</v>
      </c>
      <c r="I145" s="3">
        <v>707963868</v>
      </c>
      <c r="J145" s="3">
        <v>53605344</v>
      </c>
      <c r="K145" s="3">
        <v>106019189</v>
      </c>
      <c r="L145" s="3">
        <f t="shared" si="4"/>
        <v>4448480411</v>
      </c>
      <c r="M145" s="4">
        <f>CONVERT(Table10[[#This Row],[Estimation Total]],"byte","Gibyte")</f>
        <v>4.142970229499042</v>
      </c>
    </row>
    <row r="146" spans="1:13" x14ac:dyDescent="0.2">
      <c r="A146" t="s">
        <v>647</v>
      </c>
      <c r="B146" t="s">
        <v>648</v>
      </c>
      <c r="C146" s="3">
        <v>412822071</v>
      </c>
      <c r="D146" s="3">
        <v>1472437314</v>
      </c>
      <c r="E146" s="3">
        <v>812466288</v>
      </c>
      <c r="F146" s="3">
        <v>0</v>
      </c>
      <c r="G146" s="3">
        <v>0</v>
      </c>
      <c r="H146" s="3">
        <v>0</v>
      </c>
      <c r="I146" s="3">
        <v>6669988</v>
      </c>
      <c r="J146" s="3">
        <v>0</v>
      </c>
      <c r="K146" s="3">
        <v>506903268</v>
      </c>
      <c r="L146" s="3">
        <f t="shared" si="4"/>
        <v>3211298929</v>
      </c>
      <c r="M146" s="4">
        <f>CONVERT(Table10[[#This Row],[Estimation Total]],"byte","Gibyte")</f>
        <v>2.9907551864162087</v>
      </c>
    </row>
    <row r="147" spans="1:13" x14ac:dyDescent="0.2">
      <c r="A147" t="s">
        <v>651</v>
      </c>
      <c r="B147" t="s">
        <v>652</v>
      </c>
      <c r="C147" s="3">
        <v>2718</v>
      </c>
      <c r="D147" s="3">
        <v>2946</v>
      </c>
      <c r="E147" s="3">
        <v>0</v>
      </c>
      <c r="F147" s="3">
        <v>0</v>
      </c>
      <c r="G147" s="3">
        <v>0</v>
      </c>
      <c r="H147" s="3">
        <v>0</v>
      </c>
      <c r="I147" s="3">
        <v>0</v>
      </c>
      <c r="J147" s="3">
        <v>0</v>
      </c>
      <c r="K147" s="3">
        <v>337</v>
      </c>
      <c r="L147" s="3">
        <f t="shared" si="4"/>
        <v>6001</v>
      </c>
      <c r="M147" s="4">
        <f>CONVERT(Table10[[#This Row],[Estimation Total]],"byte","Gibyte")</f>
        <v>5.5888667702674866E-6</v>
      </c>
    </row>
    <row r="148" spans="1:13" x14ac:dyDescent="0.2">
      <c r="A148" t="s">
        <v>655</v>
      </c>
      <c r="B148" t="s">
        <v>656</v>
      </c>
      <c r="C148" s="3">
        <v>95130</v>
      </c>
      <c r="D148" s="3">
        <v>131097</v>
      </c>
      <c r="E148" s="3">
        <v>0</v>
      </c>
      <c r="F148" s="3">
        <v>0</v>
      </c>
      <c r="G148" s="3">
        <v>0</v>
      </c>
      <c r="H148" s="3">
        <v>0</v>
      </c>
      <c r="I148" s="3">
        <v>0</v>
      </c>
      <c r="J148" s="3">
        <v>0</v>
      </c>
      <c r="K148" s="3">
        <v>29993</v>
      </c>
      <c r="L148" s="3">
        <f t="shared" si="4"/>
        <v>256220</v>
      </c>
      <c r="M148" s="4">
        <f>CONVERT(Table10[[#This Row],[Estimation Total]],"byte","Gibyte")</f>
        <v>2.3862347006797791E-4</v>
      </c>
    </row>
    <row r="149" spans="1:13" x14ac:dyDescent="0.2">
      <c r="A149" t="s">
        <v>660</v>
      </c>
      <c r="B149" t="s">
        <v>661</v>
      </c>
      <c r="C149" s="3">
        <v>35029584</v>
      </c>
      <c r="D149" s="3">
        <v>23875857</v>
      </c>
      <c r="E149" s="3">
        <v>0</v>
      </c>
      <c r="F149" s="3">
        <v>0</v>
      </c>
      <c r="G149" s="3">
        <v>0</v>
      </c>
      <c r="H149" s="3">
        <v>0</v>
      </c>
      <c r="I149" s="3">
        <v>0</v>
      </c>
      <c r="J149" s="3">
        <v>0</v>
      </c>
      <c r="K149" s="3">
        <v>5625204</v>
      </c>
      <c r="L149" s="3">
        <f t="shared" si="4"/>
        <v>64530645</v>
      </c>
      <c r="M149" s="4">
        <f>CONVERT(Table10[[#This Row],[Estimation Total]],"byte","Gibyte")</f>
        <v>6.0098846442997456E-2</v>
      </c>
    </row>
    <row r="150" spans="1:13" x14ac:dyDescent="0.2">
      <c r="A150" t="s">
        <v>665</v>
      </c>
      <c r="B150" t="s">
        <v>666</v>
      </c>
      <c r="C150" s="3">
        <v>0</v>
      </c>
      <c r="D150" s="3">
        <v>0</v>
      </c>
      <c r="E150" s="3">
        <v>0</v>
      </c>
      <c r="F150" s="3">
        <v>0</v>
      </c>
      <c r="G150" s="3">
        <v>0</v>
      </c>
      <c r="H150" s="3">
        <v>0</v>
      </c>
      <c r="I150" s="3">
        <v>0</v>
      </c>
      <c r="J150" s="3">
        <v>0</v>
      </c>
      <c r="K150" s="3">
        <v>0</v>
      </c>
      <c r="L150" s="3">
        <f t="shared" si="4"/>
        <v>0</v>
      </c>
      <c r="M150" s="4">
        <f>CONVERT(Table10[[#This Row],[Estimation Total]],"byte","Gibyte")</f>
        <v>0</v>
      </c>
    </row>
    <row r="151" spans="1:13" x14ac:dyDescent="0.2">
      <c r="A151" t="s">
        <v>669</v>
      </c>
      <c r="B151" t="s">
        <v>670</v>
      </c>
      <c r="C151" s="3">
        <v>2900106</v>
      </c>
      <c r="D151" s="3">
        <v>3180207</v>
      </c>
      <c r="E151" s="3">
        <v>22603293</v>
      </c>
      <c r="F151" s="3">
        <v>0</v>
      </c>
      <c r="G151" s="3">
        <v>385098</v>
      </c>
      <c r="H151" s="3">
        <v>26773061</v>
      </c>
      <c r="I151" s="3">
        <v>14312120</v>
      </c>
      <c r="J151" s="3">
        <v>288288</v>
      </c>
      <c r="K151" s="3">
        <v>727583</v>
      </c>
      <c r="L151" s="3">
        <f t="shared" si="4"/>
        <v>71169756</v>
      </c>
      <c r="M151" s="4">
        <f>CONVERT(Table10[[#This Row],[Estimation Total]],"byte","Gibyte")</f>
        <v>6.62820003926754E-2</v>
      </c>
    </row>
    <row r="152" spans="1:13" x14ac:dyDescent="0.2">
      <c r="A152" t="s">
        <v>674</v>
      </c>
      <c r="B152" t="s">
        <v>675</v>
      </c>
      <c r="C152" s="3">
        <v>125530830</v>
      </c>
      <c r="D152" s="3">
        <v>217755063</v>
      </c>
      <c r="E152" s="3">
        <v>80346393</v>
      </c>
      <c r="F152" s="3">
        <v>0</v>
      </c>
      <c r="G152" s="3">
        <v>0</v>
      </c>
      <c r="H152" s="3">
        <v>0</v>
      </c>
      <c r="I152" s="3">
        <v>11935768</v>
      </c>
      <c r="J152" s="3">
        <v>0</v>
      </c>
      <c r="K152" s="3">
        <v>70805385</v>
      </c>
      <c r="L152" s="3">
        <f t="shared" si="4"/>
        <v>506373439</v>
      </c>
      <c r="M152" s="4">
        <f>CONVERT(Table10[[#This Row],[Estimation Total]],"byte","Gibyte")</f>
        <v>0.47159701492637396</v>
      </c>
    </row>
    <row r="153" spans="1:13" x14ac:dyDescent="0.2">
      <c r="A153" t="s">
        <v>679</v>
      </c>
      <c r="B153" t="s">
        <v>680</v>
      </c>
      <c r="C153" s="3">
        <v>1377267678</v>
      </c>
      <c r="D153" s="3">
        <v>13150474113</v>
      </c>
      <c r="E153" s="3">
        <v>991609038</v>
      </c>
      <c r="F153" s="3">
        <v>0</v>
      </c>
      <c r="G153" s="3">
        <v>0</v>
      </c>
      <c r="H153" s="3">
        <v>0</v>
      </c>
      <c r="I153" s="3">
        <v>15216754</v>
      </c>
      <c r="J153" s="3">
        <v>0</v>
      </c>
      <c r="K153" s="3">
        <v>3155913673</v>
      </c>
      <c r="L153" s="3">
        <f t="shared" si="4"/>
        <v>18690481256</v>
      </c>
      <c r="M153" s="4">
        <f>CONVERT(Table10[[#This Row],[Estimation Total]],"byte","Gibyte")</f>
        <v>17.406867124140263</v>
      </c>
    </row>
    <row r="154" spans="1:13" x14ac:dyDescent="0.2">
      <c r="A154" t="s">
        <v>684</v>
      </c>
      <c r="B154" t="s">
        <v>685</v>
      </c>
      <c r="C154" s="3">
        <v>1021968</v>
      </c>
      <c r="D154" s="3">
        <v>1203441</v>
      </c>
      <c r="E154" s="3">
        <v>12376503</v>
      </c>
      <c r="F154" s="3">
        <v>0</v>
      </c>
      <c r="G154" s="3">
        <v>0</v>
      </c>
      <c r="H154" s="3">
        <v>9129751</v>
      </c>
      <c r="I154" s="3">
        <v>2997444</v>
      </c>
      <c r="J154" s="3">
        <v>56160</v>
      </c>
      <c r="K154" s="3">
        <v>274655</v>
      </c>
      <c r="L154" s="3">
        <f t="shared" si="4"/>
        <v>27059922</v>
      </c>
      <c r="M154" s="4">
        <f>CONVERT(Table10[[#This Row],[Estimation Total]],"byte","Gibyte")</f>
        <v>2.5201516225934029E-2</v>
      </c>
    </row>
    <row r="155" spans="1:13" x14ac:dyDescent="0.2">
      <c r="A155" t="s">
        <v>688</v>
      </c>
      <c r="B155" t="s">
        <v>689</v>
      </c>
      <c r="C155" s="3">
        <v>157945698</v>
      </c>
      <c r="D155" s="3">
        <v>511558170</v>
      </c>
      <c r="E155" s="3">
        <v>2448912699</v>
      </c>
      <c r="F155" s="3">
        <v>0</v>
      </c>
      <c r="G155" s="3">
        <v>7819938</v>
      </c>
      <c r="H155" s="3">
        <v>1470198007</v>
      </c>
      <c r="I155" s="3">
        <v>105936692</v>
      </c>
      <c r="J155" s="3">
        <v>118191216</v>
      </c>
      <c r="K155" s="3">
        <v>119001440</v>
      </c>
      <c r="L155" s="3">
        <f t="shared" si="4"/>
        <v>4939563860</v>
      </c>
      <c r="M155" s="4">
        <f>CONVERT(Table10[[#This Row],[Estimation Total]],"byte","Gibyte")</f>
        <v>4.6003273315727711</v>
      </c>
    </row>
    <row r="156" spans="1:13" x14ac:dyDescent="0.2">
      <c r="A156" s="1" t="s">
        <v>692</v>
      </c>
      <c r="B156" t="s">
        <v>693</v>
      </c>
      <c r="C156" s="3">
        <v>2058885</v>
      </c>
      <c r="D156" s="3">
        <v>1558434</v>
      </c>
      <c r="E156" s="3">
        <v>3179349</v>
      </c>
      <c r="F156" s="3">
        <v>2655</v>
      </c>
      <c r="G156" s="3">
        <v>0</v>
      </c>
      <c r="H156" s="3">
        <v>89059</v>
      </c>
      <c r="I156" s="3">
        <v>0</v>
      </c>
      <c r="J156" s="3">
        <v>144144</v>
      </c>
      <c r="K156" s="3">
        <v>356546</v>
      </c>
      <c r="L156" s="3">
        <f t="shared" si="4"/>
        <v>7389072</v>
      </c>
      <c r="M156" s="4">
        <f>CONVERT(Table10[[#This Row],[Estimation Total]],"byte","Gibyte")</f>
        <v>6.8816095590591431E-3</v>
      </c>
    </row>
    <row r="157" spans="1:13" x14ac:dyDescent="0.2">
      <c r="A157" t="s">
        <v>696</v>
      </c>
      <c r="B157" t="s">
        <v>697</v>
      </c>
      <c r="C157" s="3">
        <v>61318080</v>
      </c>
      <c r="D157" s="3">
        <v>6133572</v>
      </c>
      <c r="E157" s="3">
        <v>0</v>
      </c>
      <c r="F157" s="3">
        <v>0</v>
      </c>
      <c r="G157" s="3">
        <v>0</v>
      </c>
      <c r="H157" s="3">
        <v>0</v>
      </c>
      <c r="I157" s="3">
        <v>0</v>
      </c>
      <c r="J157" s="3">
        <v>0</v>
      </c>
      <c r="K157" s="3">
        <v>1403268</v>
      </c>
      <c r="L157" s="3">
        <f t="shared" si="4"/>
        <v>68854920</v>
      </c>
      <c r="M157" s="4">
        <f>CONVERT(Table10[[#This Row],[Estimation Total]],"byte","Gibyte")</f>
        <v>6.4126141369342804E-2</v>
      </c>
    </row>
    <row r="158" spans="1:13" x14ac:dyDescent="0.2">
      <c r="A158" t="s">
        <v>700</v>
      </c>
      <c r="B158" t="s">
        <v>701</v>
      </c>
      <c r="C158" s="3">
        <v>0</v>
      </c>
      <c r="D158" s="3">
        <v>0</v>
      </c>
      <c r="E158" s="3">
        <v>0</v>
      </c>
      <c r="F158" s="3">
        <v>0</v>
      </c>
      <c r="G158" s="3">
        <v>0</v>
      </c>
      <c r="H158" s="3">
        <v>0</v>
      </c>
      <c r="I158" s="3">
        <v>0</v>
      </c>
      <c r="J158" s="3">
        <v>0</v>
      </c>
      <c r="K158" s="3">
        <v>0</v>
      </c>
      <c r="L158" s="3">
        <f t="shared" si="4"/>
        <v>0</v>
      </c>
      <c r="M158" s="4">
        <f>CONVERT(Table10[[#This Row],[Estimation Total]],"byte","Gibyte")</f>
        <v>0</v>
      </c>
    </row>
    <row r="159" spans="1:13" x14ac:dyDescent="0.2">
      <c r="A159" t="s">
        <v>705</v>
      </c>
      <c r="B159" t="s">
        <v>706</v>
      </c>
      <c r="C159" s="3">
        <v>16308</v>
      </c>
      <c r="D159" s="3">
        <v>17676</v>
      </c>
      <c r="E159" s="3">
        <v>0</v>
      </c>
      <c r="F159" s="3">
        <v>0</v>
      </c>
      <c r="G159" s="3">
        <v>0</v>
      </c>
      <c r="H159" s="3">
        <v>0</v>
      </c>
      <c r="I159" s="3">
        <v>0</v>
      </c>
      <c r="J159" s="3">
        <v>0</v>
      </c>
      <c r="K159" s="3">
        <v>4044</v>
      </c>
      <c r="L159" s="3">
        <f t="shared" si="4"/>
        <v>38028</v>
      </c>
      <c r="M159" s="4">
        <f>CONVERT(Table10[[#This Row],[Estimation Total]],"byte","Gibyte")</f>
        <v>3.5416334867477417E-5</v>
      </c>
    </row>
    <row r="160" spans="1:13" x14ac:dyDescent="0.2">
      <c r="A160" t="s">
        <v>709</v>
      </c>
      <c r="B160" t="s">
        <v>710</v>
      </c>
      <c r="C160" s="3">
        <v>111746493</v>
      </c>
      <c r="D160" s="3">
        <v>543744693</v>
      </c>
      <c r="E160" s="3">
        <v>1782439056</v>
      </c>
      <c r="F160" s="3">
        <v>0</v>
      </c>
      <c r="G160" s="3">
        <v>13571922</v>
      </c>
      <c r="H160" s="3">
        <v>911258909</v>
      </c>
      <c r="I160" s="3">
        <v>0</v>
      </c>
      <c r="J160" s="3">
        <v>40584960</v>
      </c>
      <c r="K160" s="3">
        <v>30880995</v>
      </c>
      <c r="L160" s="3">
        <f t="shared" si="4"/>
        <v>3434227028</v>
      </c>
      <c r="M160" s="4">
        <f>CONVERT(Table10[[#This Row],[Estimation Total]],"byte","Gibyte")</f>
        <v>3.198373157531023</v>
      </c>
    </row>
    <row r="161" spans="1:13" x14ac:dyDescent="0.2">
      <c r="A161" t="s">
        <v>714</v>
      </c>
      <c r="B161" t="s">
        <v>715</v>
      </c>
      <c r="C161" s="3">
        <v>69477516</v>
      </c>
      <c r="D161" s="3">
        <v>113362080</v>
      </c>
      <c r="E161" s="3">
        <v>251509464</v>
      </c>
      <c r="F161" s="3">
        <v>0</v>
      </c>
      <c r="G161" s="3">
        <v>0</v>
      </c>
      <c r="H161" s="3">
        <v>0</v>
      </c>
      <c r="I161" s="3">
        <v>31797210</v>
      </c>
      <c r="J161" s="3">
        <v>0</v>
      </c>
      <c r="K161" s="3">
        <v>50056969</v>
      </c>
      <c r="L161" s="3">
        <f t="shared" si="4"/>
        <v>516203239</v>
      </c>
      <c r="M161" s="4">
        <f>CONVERT(Table10[[#This Row],[Estimation Total]],"byte","Gibyte")</f>
        <v>0.48075172957032919</v>
      </c>
    </row>
    <row r="162" spans="1:13" x14ac:dyDescent="0.2">
      <c r="A162" t="s">
        <v>718</v>
      </c>
      <c r="B162" t="s">
        <v>719</v>
      </c>
      <c r="C162" s="3">
        <v>112053627</v>
      </c>
      <c r="D162" s="3">
        <v>258816411</v>
      </c>
      <c r="E162" s="3">
        <v>5579514</v>
      </c>
      <c r="F162" s="3">
        <v>0</v>
      </c>
      <c r="G162" s="3">
        <v>0</v>
      </c>
      <c r="H162" s="3">
        <v>0</v>
      </c>
      <c r="I162" s="3">
        <v>337550</v>
      </c>
      <c r="J162" s="3">
        <v>0</v>
      </c>
      <c r="K162" s="3">
        <v>77739160</v>
      </c>
      <c r="L162" s="3">
        <f t="shared" ref="L162:L193" si="5">SUM(C162:K162)</f>
        <v>454526262</v>
      </c>
      <c r="M162" s="4">
        <f>CONVERT(Table10[[#This Row],[Estimation Total]],"byte","Gibyte")</f>
        <v>0.42331056855618954</v>
      </c>
    </row>
    <row r="163" spans="1:13" x14ac:dyDescent="0.2">
      <c r="A163" t="s">
        <v>722</v>
      </c>
      <c r="B163" t="s">
        <v>723</v>
      </c>
      <c r="C163" s="3">
        <v>55538253</v>
      </c>
      <c r="D163" s="3">
        <v>207760758</v>
      </c>
      <c r="E163" s="3">
        <v>3401973</v>
      </c>
      <c r="F163" s="3">
        <v>0</v>
      </c>
      <c r="G163" s="3">
        <v>0</v>
      </c>
      <c r="H163" s="3">
        <v>0</v>
      </c>
      <c r="I163" s="3">
        <v>364554</v>
      </c>
      <c r="J163" s="3">
        <v>0</v>
      </c>
      <c r="K163" s="3">
        <v>51462596</v>
      </c>
      <c r="L163" s="3">
        <f t="shared" si="5"/>
        <v>318528134</v>
      </c>
      <c r="M163" s="4">
        <f>CONVERT(Table10[[#This Row],[Estimation Total]],"byte","Gibyte")</f>
        <v>0.29665244184434414</v>
      </c>
    </row>
    <row r="164" spans="1:13" x14ac:dyDescent="0.2">
      <c r="A164" s="1" t="s">
        <v>727</v>
      </c>
      <c r="B164" t="s">
        <v>728</v>
      </c>
      <c r="C164" s="3">
        <v>126056763</v>
      </c>
      <c r="D164" s="3">
        <v>324995355</v>
      </c>
      <c r="E164" s="3">
        <v>1459634256</v>
      </c>
      <c r="F164" s="3">
        <v>0</v>
      </c>
      <c r="G164" s="3">
        <v>58764174</v>
      </c>
      <c r="H164" s="3">
        <v>1611573152</v>
      </c>
      <c r="I164" s="3">
        <v>2335305920</v>
      </c>
      <c r="J164" s="3">
        <v>52507416</v>
      </c>
      <c r="K164" s="3">
        <v>74371856</v>
      </c>
      <c r="L164" s="3">
        <f t="shared" si="5"/>
        <v>6043208892</v>
      </c>
      <c r="M164" s="4">
        <f>CONVERT(Table10[[#This Row],[Estimation Total]],"byte","Gibyte")</f>
        <v>5.6281768642365932</v>
      </c>
    </row>
    <row r="165" spans="1:13" x14ac:dyDescent="0.2">
      <c r="A165" t="s">
        <v>731</v>
      </c>
      <c r="B165" t="s">
        <v>732</v>
      </c>
      <c r="C165" s="3">
        <v>1136124</v>
      </c>
      <c r="D165" s="3">
        <v>1473000</v>
      </c>
      <c r="E165" s="3">
        <v>6685677</v>
      </c>
      <c r="F165" s="3">
        <v>0</v>
      </c>
      <c r="G165" s="3">
        <v>195888</v>
      </c>
      <c r="H165" s="3">
        <v>4022097</v>
      </c>
      <c r="I165" s="3">
        <v>3524022</v>
      </c>
      <c r="J165" s="3">
        <v>325728</v>
      </c>
      <c r="K165" s="3">
        <v>342392</v>
      </c>
      <c r="L165" s="3">
        <f t="shared" si="5"/>
        <v>17704928</v>
      </c>
      <c r="M165" s="4">
        <f>CONVERT(Table10[[#This Row],[Estimation Total]],"byte","Gibyte")</f>
        <v>1.6488999128341675E-2</v>
      </c>
    </row>
    <row r="166" spans="1:13" x14ac:dyDescent="0.2">
      <c r="A166" t="s">
        <v>735</v>
      </c>
      <c r="B166" t="s">
        <v>736</v>
      </c>
      <c r="C166" s="3">
        <v>246812067</v>
      </c>
      <c r="D166" s="3">
        <v>955046064</v>
      </c>
      <c r="E166" s="3">
        <v>201899097</v>
      </c>
      <c r="F166" s="3">
        <v>0</v>
      </c>
      <c r="G166" s="3">
        <v>6733650</v>
      </c>
      <c r="H166" s="3">
        <v>165705101</v>
      </c>
      <c r="I166" s="3">
        <v>48094124</v>
      </c>
      <c r="J166" s="3">
        <v>8348808</v>
      </c>
      <c r="K166" s="3">
        <v>249626010</v>
      </c>
      <c r="L166" s="3">
        <f t="shared" si="5"/>
        <v>1882264921</v>
      </c>
      <c r="M166" s="4">
        <f>CONVERT(Table10[[#This Row],[Estimation Total]],"byte","Gibyte")</f>
        <v>1.7529958123341203</v>
      </c>
    </row>
    <row r="167" spans="1:13" x14ac:dyDescent="0.2">
      <c r="A167" t="s">
        <v>739</v>
      </c>
      <c r="B167" t="s">
        <v>740</v>
      </c>
      <c r="C167" s="3">
        <v>118233</v>
      </c>
      <c r="D167" s="3">
        <v>125205</v>
      </c>
      <c r="E167" s="3">
        <v>542646</v>
      </c>
      <c r="F167" s="3">
        <v>0</v>
      </c>
      <c r="G167" s="3">
        <v>0</v>
      </c>
      <c r="H167" s="3">
        <v>255142</v>
      </c>
      <c r="I167" s="3">
        <v>594088</v>
      </c>
      <c r="J167" s="3">
        <v>0</v>
      </c>
      <c r="K167" s="3">
        <v>27634</v>
      </c>
      <c r="L167" s="3">
        <f t="shared" si="5"/>
        <v>1662948</v>
      </c>
      <c r="M167" s="4">
        <f>CONVERT(Table10[[#This Row],[Estimation Total]],"byte","Gibyte")</f>
        <v>1.5487410128116608E-3</v>
      </c>
    </row>
    <row r="168" spans="1:13" x14ac:dyDescent="0.2">
      <c r="A168" s="1" t="s">
        <v>743</v>
      </c>
      <c r="B168" t="s">
        <v>744</v>
      </c>
      <c r="C168" s="3">
        <v>108397917</v>
      </c>
      <c r="D168" s="3">
        <v>381179994</v>
      </c>
      <c r="E168" s="3">
        <v>9426735</v>
      </c>
      <c r="F168" s="3">
        <v>0</v>
      </c>
      <c r="G168" s="3">
        <v>0</v>
      </c>
      <c r="H168" s="3">
        <v>0</v>
      </c>
      <c r="I168" s="3">
        <v>445566</v>
      </c>
      <c r="J168" s="3">
        <v>0</v>
      </c>
      <c r="K168" s="3">
        <v>77034156</v>
      </c>
      <c r="L168" s="3">
        <f t="shared" si="5"/>
        <v>576484368</v>
      </c>
      <c r="M168" s="4">
        <f>CONVERT(Table10[[#This Row],[Estimation Total]],"byte","Gibyte")</f>
        <v>0.53689290583133698</v>
      </c>
    </row>
    <row r="169" spans="1:13" x14ac:dyDescent="0.2">
      <c r="A169" t="s">
        <v>746</v>
      </c>
      <c r="B169" t="s">
        <v>747</v>
      </c>
      <c r="C169" s="3">
        <v>140239287</v>
      </c>
      <c r="D169" s="3">
        <v>405773202</v>
      </c>
      <c r="E169" s="3">
        <v>1753164</v>
      </c>
      <c r="F169" s="3">
        <v>0</v>
      </c>
      <c r="G169" s="3">
        <v>0</v>
      </c>
      <c r="H169" s="3">
        <v>0</v>
      </c>
      <c r="I169" s="3">
        <v>229534</v>
      </c>
      <c r="J169" s="3">
        <v>0</v>
      </c>
      <c r="K169" s="3">
        <v>97309424</v>
      </c>
      <c r="L169" s="3">
        <f t="shared" si="5"/>
        <v>645304611</v>
      </c>
      <c r="M169" s="4">
        <f>CONVERT(Table10[[#This Row],[Estimation Total]],"byte","Gibyte")</f>
        <v>0.60098675172775984</v>
      </c>
    </row>
    <row r="170" spans="1:13" x14ac:dyDescent="0.2">
      <c r="A170" t="s">
        <v>750</v>
      </c>
      <c r="B170" t="s">
        <v>751</v>
      </c>
      <c r="C170" s="3">
        <v>298555992</v>
      </c>
      <c r="D170" s="3">
        <v>4506360684</v>
      </c>
      <c r="E170" s="3">
        <v>436781331</v>
      </c>
      <c r="F170" s="3">
        <v>0</v>
      </c>
      <c r="G170" s="3">
        <v>12320910</v>
      </c>
      <c r="H170" s="3">
        <v>377068585</v>
      </c>
      <c r="I170" s="3">
        <v>341695114</v>
      </c>
      <c r="J170" s="3">
        <v>3610464</v>
      </c>
      <c r="K170" s="3">
        <v>1065318671</v>
      </c>
      <c r="L170" s="3">
        <f t="shared" si="5"/>
        <v>7041711751</v>
      </c>
      <c r="M170" s="4">
        <f>CONVERT(Table10[[#This Row],[Estimation Total]],"byte","Gibyte")</f>
        <v>6.5581051176413894</v>
      </c>
    </row>
    <row r="171" spans="1:13" x14ac:dyDescent="0.2">
      <c r="A171" t="s">
        <v>754</v>
      </c>
      <c r="B171" t="s">
        <v>755</v>
      </c>
      <c r="C171" s="3">
        <v>3790251</v>
      </c>
      <c r="D171" s="3">
        <v>4024236</v>
      </c>
      <c r="E171" s="3">
        <v>236538</v>
      </c>
      <c r="F171" s="3">
        <v>15075680</v>
      </c>
      <c r="G171" s="3">
        <v>142464</v>
      </c>
      <c r="H171" s="3">
        <v>84245</v>
      </c>
      <c r="I171" s="3">
        <v>229534</v>
      </c>
      <c r="J171" s="3">
        <v>936</v>
      </c>
      <c r="K171" s="3">
        <v>923380</v>
      </c>
      <c r="L171" s="3">
        <f t="shared" si="5"/>
        <v>24507264</v>
      </c>
      <c r="M171" s="4">
        <f>CONVERT(Table10[[#This Row],[Estimation Total]],"byte","Gibyte")</f>
        <v>2.282416820526123E-2</v>
      </c>
    </row>
    <row r="172" spans="1:13" x14ac:dyDescent="0.2">
      <c r="A172" t="s">
        <v>758</v>
      </c>
      <c r="B172" t="s">
        <v>759</v>
      </c>
      <c r="C172" s="3">
        <v>687321045</v>
      </c>
      <c r="D172" s="3">
        <v>1760380827</v>
      </c>
      <c r="E172" s="3">
        <v>3277839249</v>
      </c>
      <c r="F172" s="3">
        <v>0</v>
      </c>
      <c r="G172" s="3">
        <v>73282146</v>
      </c>
      <c r="H172" s="3">
        <v>407141643</v>
      </c>
      <c r="I172" s="3">
        <v>90436396</v>
      </c>
      <c r="J172" s="3">
        <v>21679320</v>
      </c>
      <c r="K172" s="3">
        <v>576421313</v>
      </c>
      <c r="L172" s="3">
        <f t="shared" si="5"/>
        <v>6894501939</v>
      </c>
      <c r="M172" s="4">
        <f>CONVERT(Table10[[#This Row],[Estimation Total]],"byte","Gibyte")</f>
        <v>6.4210052965208888</v>
      </c>
    </row>
    <row r="173" spans="1:13" x14ac:dyDescent="0.2">
      <c r="A173" t="s">
        <v>762</v>
      </c>
      <c r="B173" t="s">
        <v>763</v>
      </c>
      <c r="C173" s="3">
        <v>6209271</v>
      </c>
      <c r="D173" s="3">
        <v>13083186</v>
      </c>
      <c r="E173" s="3">
        <v>16460262</v>
      </c>
      <c r="F173" s="3">
        <v>0</v>
      </c>
      <c r="G173" s="3">
        <v>914886</v>
      </c>
      <c r="H173" s="3">
        <v>17450750</v>
      </c>
      <c r="I173" s="3">
        <v>23506982</v>
      </c>
      <c r="J173" s="3">
        <v>467688</v>
      </c>
      <c r="K173" s="3">
        <v>3119272</v>
      </c>
      <c r="L173" s="3">
        <f t="shared" si="5"/>
        <v>81212297</v>
      </c>
      <c r="M173" s="4">
        <f>CONVERT(Table10[[#This Row],[Estimation Total]],"byte","Gibyte")</f>
        <v>7.5634845532476902E-2</v>
      </c>
    </row>
    <row r="174" spans="1:13" x14ac:dyDescent="0.2">
      <c r="A174" t="s">
        <v>766</v>
      </c>
      <c r="B174" t="s">
        <v>767</v>
      </c>
      <c r="C174" s="3">
        <v>46697958</v>
      </c>
      <c r="D174" s="3">
        <v>69612507</v>
      </c>
      <c r="E174" s="3">
        <v>419187078</v>
      </c>
      <c r="F174" s="3">
        <v>0</v>
      </c>
      <c r="G174" s="3">
        <v>7786548</v>
      </c>
      <c r="H174" s="3">
        <v>266796694</v>
      </c>
      <c r="I174" s="3">
        <v>351551574</v>
      </c>
      <c r="J174" s="3">
        <v>9421152</v>
      </c>
      <c r="K174" s="3">
        <v>16005141</v>
      </c>
      <c r="L174" s="3">
        <f t="shared" si="5"/>
        <v>1187058652</v>
      </c>
      <c r="M174" s="4">
        <f>CONVERT(Table10[[#This Row],[Estimation Total]],"byte","Gibyte")</f>
        <v>1.1055345200002193</v>
      </c>
    </row>
    <row r="175" spans="1:13" x14ac:dyDescent="0.2">
      <c r="A175" t="s">
        <v>770</v>
      </c>
      <c r="B175" t="s">
        <v>771</v>
      </c>
      <c r="C175" s="3">
        <v>1106905500</v>
      </c>
      <c r="D175" s="3">
        <v>3033770178</v>
      </c>
      <c r="E175" s="3">
        <v>1100402604</v>
      </c>
      <c r="F175" s="3">
        <v>0</v>
      </c>
      <c r="G175" s="3">
        <v>0</v>
      </c>
      <c r="H175" s="3">
        <v>0</v>
      </c>
      <c r="I175" s="3">
        <v>6129908</v>
      </c>
      <c r="J175" s="3">
        <v>39509496</v>
      </c>
      <c r="K175" s="3">
        <v>849299986</v>
      </c>
      <c r="L175" s="3">
        <f t="shared" si="5"/>
        <v>6136017672</v>
      </c>
      <c r="M175" s="4">
        <f>CONVERT(Table10[[#This Row],[Estimation Total]],"byte","Gibyte")</f>
        <v>5.7146117761731148</v>
      </c>
    </row>
    <row r="176" spans="1:13" x14ac:dyDescent="0.2">
      <c r="A176" t="s">
        <v>774</v>
      </c>
      <c r="B176" t="s">
        <v>775</v>
      </c>
      <c r="C176" s="3">
        <v>142972236</v>
      </c>
      <c r="D176" s="3">
        <v>300580380</v>
      </c>
      <c r="E176" s="3">
        <v>155878542</v>
      </c>
      <c r="F176" s="3">
        <v>0</v>
      </c>
      <c r="G176" s="3">
        <v>0</v>
      </c>
      <c r="H176" s="3">
        <v>0</v>
      </c>
      <c r="I176" s="3">
        <v>2889428</v>
      </c>
      <c r="J176" s="3">
        <v>0</v>
      </c>
      <c r="K176" s="3">
        <v>102171997</v>
      </c>
      <c r="L176" s="3">
        <f t="shared" si="5"/>
        <v>704492583</v>
      </c>
      <c r="M176" s="4">
        <f>CONVERT(Table10[[#This Row],[Estimation Total]],"byte","Gibyte")</f>
        <v>0.65610984619706869</v>
      </c>
    </row>
    <row r="177" spans="1:13" x14ac:dyDescent="0.2">
      <c r="A177" t="s">
        <v>778</v>
      </c>
      <c r="B177" t="s">
        <v>779</v>
      </c>
      <c r="C177" s="3">
        <v>33771150</v>
      </c>
      <c r="D177" s="3">
        <v>37440714</v>
      </c>
      <c r="E177" s="3">
        <v>458981118</v>
      </c>
      <c r="F177" s="3">
        <v>0</v>
      </c>
      <c r="G177" s="3">
        <v>5658492</v>
      </c>
      <c r="H177" s="3">
        <v>321709992</v>
      </c>
      <c r="I177" s="3">
        <v>21886742</v>
      </c>
      <c r="J177" s="3">
        <v>7368816</v>
      </c>
      <c r="K177" s="3">
        <v>8565529</v>
      </c>
      <c r="L177" s="3">
        <f t="shared" si="5"/>
        <v>895382553</v>
      </c>
      <c r="M177" s="4">
        <f>CONVERT(Table10[[#This Row],[Estimation Total]],"byte","Gibyte")</f>
        <v>0.83388998452574015</v>
      </c>
    </row>
    <row r="178" spans="1:13" x14ac:dyDescent="0.2">
      <c r="A178" t="s">
        <v>782</v>
      </c>
      <c r="B178" t="s">
        <v>783</v>
      </c>
      <c r="C178" s="3">
        <v>0</v>
      </c>
      <c r="D178" s="3">
        <v>0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0</v>
      </c>
      <c r="L178" s="3">
        <f t="shared" si="5"/>
        <v>0</v>
      </c>
      <c r="M178" s="4">
        <f>CONVERT(Table10[[#This Row],[Estimation Total]],"byte","Gibyte")</f>
        <v>0</v>
      </c>
    </row>
    <row r="179" spans="1:13" x14ac:dyDescent="0.2">
      <c r="A179" t="s">
        <v>786</v>
      </c>
      <c r="B179" t="s">
        <v>787</v>
      </c>
      <c r="C179" s="3">
        <v>486522</v>
      </c>
      <c r="D179" s="3">
        <v>6808206</v>
      </c>
      <c r="E179" s="3">
        <v>59273640</v>
      </c>
      <c r="F179" s="3">
        <v>0</v>
      </c>
      <c r="G179" s="3">
        <v>1616076</v>
      </c>
      <c r="H179" s="3">
        <v>55247871</v>
      </c>
      <c r="I179" s="3">
        <v>14042080</v>
      </c>
      <c r="J179" s="3">
        <v>421512</v>
      </c>
      <c r="K179" s="3">
        <v>1571768</v>
      </c>
      <c r="L179" s="3">
        <f t="shared" si="5"/>
        <v>139467675</v>
      </c>
      <c r="M179" s="4">
        <f>CONVERT(Table10[[#This Row],[Estimation Total]],"byte","Gibyte")</f>
        <v>0.12988939415663481</v>
      </c>
    </row>
    <row r="180" spans="1:13" x14ac:dyDescent="0.2">
      <c r="A180" t="s">
        <v>790</v>
      </c>
      <c r="B180" t="s">
        <v>791</v>
      </c>
      <c r="C180" s="3">
        <v>6795</v>
      </c>
      <c r="D180" s="3">
        <v>7365</v>
      </c>
      <c r="E180" s="3">
        <v>34785</v>
      </c>
      <c r="F180" s="3">
        <v>0</v>
      </c>
      <c r="G180" s="3">
        <v>0</v>
      </c>
      <c r="H180" s="3">
        <v>12035</v>
      </c>
      <c r="I180" s="3">
        <v>0</v>
      </c>
      <c r="J180" s="3">
        <v>0</v>
      </c>
      <c r="K180" s="3">
        <v>1685</v>
      </c>
      <c r="L180" s="3">
        <f t="shared" si="5"/>
        <v>62665</v>
      </c>
      <c r="M180" s="4">
        <f>CONVERT(Table10[[#This Row],[Estimation Total]],"byte","Gibyte")</f>
        <v>5.8361329138278961E-5</v>
      </c>
    </row>
    <row r="181" spans="1:13" x14ac:dyDescent="0.2">
      <c r="A181" t="s">
        <v>794</v>
      </c>
      <c r="B181" t="s">
        <v>795</v>
      </c>
      <c r="C181" s="3">
        <v>403900236</v>
      </c>
      <c r="D181" s="3">
        <v>974744493</v>
      </c>
      <c r="E181" s="3">
        <v>4986388008</v>
      </c>
      <c r="F181" s="3">
        <v>0</v>
      </c>
      <c r="G181" s="3">
        <v>18317754</v>
      </c>
      <c r="H181" s="3">
        <v>3294407946</v>
      </c>
      <c r="I181" s="3">
        <v>978516944</v>
      </c>
      <c r="J181" s="3">
        <v>14652456</v>
      </c>
      <c r="K181" s="3">
        <v>223215994</v>
      </c>
      <c r="L181" s="3">
        <f t="shared" si="5"/>
        <v>10894143831</v>
      </c>
      <c r="M181" s="4">
        <f>CONVERT(Table10[[#This Row],[Estimation Total]],"byte","Gibyte")</f>
        <v>10.145962080918252</v>
      </c>
    </row>
    <row r="182" spans="1:13" x14ac:dyDescent="0.2">
      <c r="A182" t="s">
        <v>799</v>
      </c>
      <c r="B182" t="s">
        <v>800</v>
      </c>
      <c r="C182" s="3">
        <v>175516209</v>
      </c>
      <c r="D182" s="3">
        <v>503776311</v>
      </c>
      <c r="E182" s="3">
        <v>190030455</v>
      </c>
      <c r="F182" s="3">
        <v>0</v>
      </c>
      <c r="G182" s="3">
        <v>0</v>
      </c>
      <c r="H182" s="3">
        <v>0</v>
      </c>
      <c r="I182" s="3">
        <v>4685194</v>
      </c>
      <c r="J182" s="3">
        <v>42744</v>
      </c>
      <c r="K182" s="3">
        <v>189450616</v>
      </c>
      <c r="L182" s="3">
        <f t="shared" si="5"/>
        <v>1063501529</v>
      </c>
      <c r="M182" s="4">
        <f>CONVERT(Table10[[#This Row],[Estimation Total]],"byte","Gibyte")</f>
        <v>0.99046298209577799</v>
      </c>
    </row>
    <row r="183" spans="1:13" x14ac:dyDescent="0.2">
      <c r="A183" t="s">
        <v>803</v>
      </c>
      <c r="B183" t="s">
        <v>804</v>
      </c>
      <c r="C183" s="3">
        <v>356419494</v>
      </c>
      <c r="D183" s="3">
        <v>1651582101</v>
      </c>
      <c r="E183" s="3">
        <v>2873101860</v>
      </c>
      <c r="F183" s="3">
        <v>0</v>
      </c>
      <c r="G183" s="3">
        <v>46178370</v>
      </c>
      <c r="H183" s="3">
        <v>1489653788</v>
      </c>
      <c r="I183" s="3">
        <v>5094750166</v>
      </c>
      <c r="J183" s="3">
        <v>66676272</v>
      </c>
      <c r="K183" s="3">
        <v>351576598</v>
      </c>
      <c r="L183" s="3">
        <f t="shared" si="5"/>
        <v>11929938649</v>
      </c>
      <c r="M183" s="4">
        <f>CONVERT(Table10[[#This Row],[Estimation Total]],"byte","Gibyte")</f>
        <v>11.110621177591383</v>
      </c>
    </row>
    <row r="184" spans="1:13" x14ac:dyDescent="0.2">
      <c r="A184" t="s">
        <v>808</v>
      </c>
      <c r="B184" t="s">
        <v>809</v>
      </c>
      <c r="C184" s="3">
        <v>382934943</v>
      </c>
      <c r="D184" s="3">
        <v>1238105109</v>
      </c>
      <c r="E184" s="3">
        <v>319075848</v>
      </c>
      <c r="F184" s="3">
        <v>0</v>
      </c>
      <c r="G184" s="3">
        <v>0</v>
      </c>
      <c r="H184" s="3">
        <v>0</v>
      </c>
      <c r="I184" s="3">
        <v>7655634</v>
      </c>
      <c r="J184" s="3">
        <v>0</v>
      </c>
      <c r="K184" s="3">
        <v>414782633</v>
      </c>
      <c r="L184" s="3">
        <f t="shared" si="5"/>
        <v>2362554167</v>
      </c>
      <c r="M184" s="4">
        <f>CONVERT(Table10[[#This Row],[Estimation Total]],"byte","Gibyte")</f>
        <v>2.2003000294789672</v>
      </c>
    </row>
    <row r="185" spans="1:13" x14ac:dyDescent="0.2">
      <c r="A185" t="s">
        <v>812</v>
      </c>
      <c r="B185" t="s">
        <v>813</v>
      </c>
      <c r="C185" s="3">
        <v>107303922</v>
      </c>
      <c r="D185" s="3">
        <v>345048777</v>
      </c>
      <c r="E185" s="3">
        <v>53012340</v>
      </c>
      <c r="F185" s="3">
        <v>0</v>
      </c>
      <c r="G185" s="3">
        <v>0</v>
      </c>
      <c r="H185" s="3">
        <v>0</v>
      </c>
      <c r="I185" s="3">
        <v>2295340</v>
      </c>
      <c r="J185" s="3">
        <v>14572896</v>
      </c>
      <c r="K185" s="3">
        <v>96026128</v>
      </c>
      <c r="L185" s="3">
        <f t="shared" si="5"/>
        <v>618259403</v>
      </c>
      <c r="M185" s="4">
        <f>CONVERT(Table10[[#This Row],[Estimation Total]],"byte","Gibyte")</f>
        <v>0.5757989389821887</v>
      </c>
    </row>
    <row r="186" spans="1:13" x14ac:dyDescent="0.2">
      <c r="A186" t="s">
        <v>817</v>
      </c>
      <c r="B186" t="s">
        <v>818</v>
      </c>
      <c r="C186" s="3">
        <v>14656815</v>
      </c>
      <c r="D186" s="3">
        <v>22953759</v>
      </c>
      <c r="E186" s="3">
        <v>72756306</v>
      </c>
      <c r="F186" s="3">
        <v>0</v>
      </c>
      <c r="G186" s="3">
        <v>6873888</v>
      </c>
      <c r="H186" s="3">
        <v>39265391</v>
      </c>
      <c r="I186" s="3">
        <v>22777874</v>
      </c>
      <c r="J186" s="3">
        <v>3255408</v>
      </c>
      <c r="K186" s="3">
        <v>5251471</v>
      </c>
      <c r="L186" s="3">
        <f t="shared" si="5"/>
        <v>187790912</v>
      </c>
      <c r="M186" s="4">
        <f>CONVERT(Table10[[#This Row],[Estimation Total]],"byte","Gibyte")</f>
        <v>0.17489391565322876</v>
      </c>
    </row>
    <row r="187" spans="1:13" x14ac:dyDescent="0.2">
      <c r="A187" t="s">
        <v>821</v>
      </c>
      <c r="B187" t="s">
        <v>822</v>
      </c>
      <c r="C187" s="3">
        <v>84713265</v>
      </c>
      <c r="D187" s="3">
        <v>644159103</v>
      </c>
      <c r="E187" s="3">
        <v>2394891594</v>
      </c>
      <c r="F187" s="3">
        <v>0</v>
      </c>
      <c r="G187" s="3">
        <v>135122652</v>
      </c>
      <c r="H187" s="3">
        <v>983755342</v>
      </c>
      <c r="I187" s="3">
        <v>0</v>
      </c>
      <c r="J187" s="3">
        <v>88441704</v>
      </c>
      <c r="K187" s="3">
        <v>149563970</v>
      </c>
      <c r="L187" s="3">
        <f t="shared" si="5"/>
        <v>4480647630</v>
      </c>
      <c r="M187" s="4">
        <f>CONVERT(Table10[[#This Row],[Estimation Total]],"byte","Gibyte")</f>
        <v>4.172928286716342</v>
      </c>
    </row>
    <row r="188" spans="1:13" x14ac:dyDescent="0.2">
      <c r="A188" t="s">
        <v>825</v>
      </c>
      <c r="B188" t="s">
        <v>826</v>
      </c>
      <c r="C188" s="3">
        <v>114911604</v>
      </c>
      <c r="D188" s="3">
        <v>160969440</v>
      </c>
      <c r="E188" s="3">
        <v>2329787988</v>
      </c>
      <c r="F188" s="3">
        <v>0</v>
      </c>
      <c r="G188" s="3">
        <v>53688894</v>
      </c>
      <c r="H188" s="3">
        <v>1884656930</v>
      </c>
      <c r="I188" s="3">
        <v>567300032</v>
      </c>
      <c r="J188" s="3">
        <v>6330480</v>
      </c>
      <c r="K188" s="3">
        <v>38605709</v>
      </c>
      <c r="L188" s="3">
        <f t="shared" si="5"/>
        <v>5156251077</v>
      </c>
      <c r="M188" s="4">
        <f>CONVERT(Table10[[#This Row],[Estimation Total]],"byte","Gibyte")</f>
        <v>4.802133028395474</v>
      </c>
    </row>
    <row r="189" spans="1:13" x14ac:dyDescent="0.2">
      <c r="A189" t="s">
        <v>830</v>
      </c>
      <c r="B189" t="s">
        <v>831</v>
      </c>
      <c r="C189" s="3">
        <v>1606338</v>
      </c>
      <c r="D189" s="3">
        <v>1938468</v>
      </c>
      <c r="E189" s="3">
        <v>8612766</v>
      </c>
      <c r="F189" s="3">
        <v>0</v>
      </c>
      <c r="G189" s="3">
        <v>42294</v>
      </c>
      <c r="H189" s="3">
        <v>8751852</v>
      </c>
      <c r="I189" s="3">
        <v>16229404</v>
      </c>
      <c r="J189" s="3">
        <v>182832</v>
      </c>
      <c r="K189" s="3">
        <v>443155</v>
      </c>
      <c r="L189" s="3">
        <f t="shared" si="5"/>
        <v>37807109</v>
      </c>
      <c r="M189" s="4">
        <f>CONVERT(Table10[[#This Row],[Estimation Total]],"byte","Gibyte")</f>
        <v>3.5210614092648029E-2</v>
      </c>
    </row>
    <row r="190" spans="1:13" x14ac:dyDescent="0.2">
      <c r="A190" t="s">
        <v>833</v>
      </c>
      <c r="B190" t="s">
        <v>834</v>
      </c>
      <c r="C190" s="3">
        <v>1359</v>
      </c>
      <c r="D190" s="3">
        <v>1473</v>
      </c>
      <c r="E190" s="3">
        <v>6957</v>
      </c>
      <c r="F190" s="3">
        <v>0</v>
      </c>
      <c r="G190" s="3">
        <v>0</v>
      </c>
      <c r="H190" s="3">
        <v>2407</v>
      </c>
      <c r="I190" s="3">
        <v>0</v>
      </c>
      <c r="J190" s="3">
        <v>312</v>
      </c>
      <c r="K190" s="3">
        <v>0</v>
      </c>
      <c r="L190" s="3">
        <f t="shared" si="5"/>
        <v>12508</v>
      </c>
      <c r="M190" s="4">
        <f>CONVERT(Table10[[#This Row],[Estimation Total]],"byte","Gibyte")</f>
        <v>1.1648982763290405E-5</v>
      </c>
    </row>
    <row r="191" spans="1:13" x14ac:dyDescent="0.2">
      <c r="A191" t="s">
        <v>837</v>
      </c>
      <c r="B191" t="s">
        <v>838</v>
      </c>
      <c r="C191" s="3">
        <v>12231</v>
      </c>
      <c r="D191" s="3">
        <v>13257</v>
      </c>
      <c r="E191" s="3">
        <v>48699</v>
      </c>
      <c r="F191" s="3">
        <v>0</v>
      </c>
      <c r="G191" s="3">
        <v>6678</v>
      </c>
      <c r="H191" s="3">
        <v>16849</v>
      </c>
      <c r="I191" s="3">
        <v>67510</v>
      </c>
      <c r="J191" s="3">
        <v>4056</v>
      </c>
      <c r="K191" s="3">
        <v>2696</v>
      </c>
      <c r="L191" s="3">
        <f t="shared" si="5"/>
        <v>171976</v>
      </c>
      <c r="M191" s="4">
        <f>CONVERT(Table10[[#This Row],[Estimation Total]],"byte","Gibyte")</f>
        <v>1.6016513109207153E-4</v>
      </c>
    </row>
    <row r="192" spans="1:13" x14ac:dyDescent="0.2">
      <c r="A192" t="s">
        <v>841</v>
      </c>
      <c r="B192" t="s">
        <v>842</v>
      </c>
      <c r="C192" s="3">
        <v>0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  <c r="L192" s="3">
        <f t="shared" si="5"/>
        <v>0</v>
      </c>
      <c r="M192" s="4">
        <f>CONVERT(Table10[[#This Row],[Estimation Total]],"byte","Gibyte")</f>
        <v>0</v>
      </c>
    </row>
    <row r="193" spans="1:13" x14ac:dyDescent="0.2">
      <c r="A193" t="s">
        <v>845</v>
      </c>
      <c r="B193" t="s">
        <v>846</v>
      </c>
      <c r="C193" s="3">
        <v>0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  <c r="L193" s="3">
        <f t="shared" si="5"/>
        <v>0</v>
      </c>
      <c r="M193" s="4">
        <f>CONVERT(Table10[[#This Row],[Estimation Total]],"byte","Gibyte")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Q194"/>
  <sheetViews>
    <sheetView tabSelected="1" workbookViewId="0">
      <pane ySplit="1" topLeftCell="A183" activePane="bottomLeft" state="frozen"/>
      <selection pane="bottomLeft" activeCell="R200" sqref="R200"/>
    </sheetView>
  </sheetViews>
  <sheetFormatPr baseColWidth="10" defaultRowHeight="16" x14ac:dyDescent="0.2"/>
  <cols>
    <col min="1" max="1" width="25.5" bestFit="1" customWidth="1"/>
    <col min="2" max="2" width="56" bestFit="1" customWidth="1"/>
    <col min="3" max="3" width="54.1640625" hidden="1" customWidth="1"/>
    <col min="4" max="4" width="15.6640625" style="2" hidden="1" customWidth="1"/>
    <col min="5" max="5" width="54.1640625" hidden="1" customWidth="1"/>
    <col min="6" max="6" width="16.1640625" style="2" hidden="1" customWidth="1"/>
    <col min="7" max="7" width="52.83203125" hidden="1" customWidth="1"/>
    <col min="8" max="8" width="14.5" style="3" customWidth="1"/>
    <col min="9" max="9" width="16.83203125" style="3" customWidth="1"/>
    <col min="10" max="10" width="17.5" style="3" customWidth="1"/>
    <col min="11" max="11" width="17.6640625" style="3" customWidth="1"/>
    <col min="12" max="12" width="19.83203125" style="3" customWidth="1"/>
    <col min="13" max="13" width="27.5" style="3" customWidth="1"/>
    <col min="14" max="14" width="14.83203125" style="3" customWidth="1"/>
    <col min="15" max="15" width="15.33203125" style="3" customWidth="1"/>
    <col min="16" max="16" width="12" style="3" customWidth="1"/>
  </cols>
  <sheetData>
    <row r="1" spans="1:17" x14ac:dyDescent="0.2">
      <c r="A1" t="s">
        <v>0</v>
      </c>
      <c r="B1" t="s">
        <v>1</v>
      </c>
      <c r="C1" t="s">
        <v>2</v>
      </c>
      <c r="D1" s="2" t="s">
        <v>3</v>
      </c>
      <c r="E1" t="s">
        <v>4</v>
      </c>
      <c r="F1" s="2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t="s">
        <v>874</v>
      </c>
    </row>
    <row r="2" spans="1:17" x14ac:dyDescent="0.2">
      <c r="A2" t="s">
        <v>421</v>
      </c>
      <c r="B2" t="s">
        <v>422</v>
      </c>
      <c r="C2" t="s">
        <v>423</v>
      </c>
      <c r="D2" s="2">
        <v>1500460000000</v>
      </c>
      <c r="E2" t="s">
        <v>424</v>
      </c>
      <c r="F2" s="2">
        <v>1619620000000</v>
      </c>
      <c r="G2" t="s">
        <v>425</v>
      </c>
      <c r="H2" s="3">
        <v>352652</v>
      </c>
      <c r="I2" s="3">
        <v>1199802</v>
      </c>
      <c r="J2" s="3">
        <v>38309</v>
      </c>
      <c r="K2" s="3">
        <v>189843</v>
      </c>
      <c r="L2" s="3">
        <v>105</v>
      </c>
      <c r="M2" s="3">
        <v>47696</v>
      </c>
      <c r="N2" s="3">
        <v>59596</v>
      </c>
      <c r="O2" s="3">
        <v>134626</v>
      </c>
      <c r="P2" s="3">
        <v>1540884</v>
      </c>
      <c r="Q2" s="3">
        <f t="shared" ref="Q2:Q33" si="0">SUM(H2:P2)</f>
        <v>3563513</v>
      </c>
    </row>
    <row r="3" spans="1:17" x14ac:dyDescent="0.2">
      <c r="A3" t="s">
        <v>173</v>
      </c>
      <c r="B3" t="s">
        <v>174</v>
      </c>
      <c r="C3" t="s">
        <v>175</v>
      </c>
      <c r="D3" s="2">
        <v>1531750000000</v>
      </c>
      <c r="E3" t="s">
        <v>176</v>
      </c>
      <c r="F3" s="2">
        <v>1619110000000</v>
      </c>
      <c r="G3" t="s">
        <v>25</v>
      </c>
      <c r="H3" s="3">
        <v>57738</v>
      </c>
      <c r="I3" s="3">
        <v>106242</v>
      </c>
      <c r="J3" s="3">
        <v>87666</v>
      </c>
      <c r="K3" s="3">
        <v>117912</v>
      </c>
      <c r="L3" s="3">
        <v>293</v>
      </c>
      <c r="M3" s="3">
        <v>221924</v>
      </c>
      <c r="N3" s="3">
        <v>7776</v>
      </c>
      <c r="O3" s="3">
        <v>36518</v>
      </c>
      <c r="P3" s="3">
        <v>106295</v>
      </c>
      <c r="Q3" s="3">
        <f t="shared" si="0"/>
        <v>742364</v>
      </c>
    </row>
    <row r="4" spans="1:17" x14ac:dyDescent="0.2">
      <c r="A4" t="s">
        <v>177</v>
      </c>
      <c r="B4" t="s">
        <v>178</v>
      </c>
      <c r="C4" t="s">
        <v>179</v>
      </c>
      <c r="D4" s="2">
        <v>1416520000000</v>
      </c>
      <c r="E4" t="s">
        <v>180</v>
      </c>
      <c r="F4" s="2">
        <v>1608170000000</v>
      </c>
      <c r="G4" t="s">
        <v>54</v>
      </c>
      <c r="H4" s="3">
        <v>13628</v>
      </c>
      <c r="I4" s="3">
        <v>34543</v>
      </c>
      <c r="J4" s="3">
        <v>3133</v>
      </c>
      <c r="K4" s="3">
        <v>116169</v>
      </c>
      <c r="L4" s="3">
        <v>0</v>
      </c>
      <c r="M4" s="3">
        <v>0</v>
      </c>
      <c r="N4" s="3">
        <v>71</v>
      </c>
      <c r="O4" s="3">
        <v>0</v>
      </c>
      <c r="P4" s="3">
        <v>43078</v>
      </c>
      <c r="Q4" s="3">
        <f t="shared" si="0"/>
        <v>210622</v>
      </c>
    </row>
    <row r="5" spans="1:17" x14ac:dyDescent="0.2">
      <c r="A5" t="s">
        <v>294</v>
      </c>
      <c r="B5" t="s">
        <v>295</v>
      </c>
      <c r="C5" t="s">
        <v>296</v>
      </c>
      <c r="D5" s="2">
        <v>1445530000000</v>
      </c>
      <c r="E5" t="s">
        <v>297</v>
      </c>
      <c r="F5" s="2">
        <v>1608580000000</v>
      </c>
      <c r="G5" t="s">
        <v>298</v>
      </c>
      <c r="H5" s="3">
        <v>135272</v>
      </c>
      <c r="I5" s="3">
        <v>491354</v>
      </c>
      <c r="J5" s="3">
        <v>150108</v>
      </c>
      <c r="K5" s="3">
        <v>94711</v>
      </c>
      <c r="L5" s="3">
        <v>168</v>
      </c>
      <c r="M5" s="3">
        <v>628894</v>
      </c>
      <c r="N5" s="3">
        <v>69754</v>
      </c>
      <c r="O5" s="3">
        <v>19261</v>
      </c>
      <c r="P5" s="3">
        <v>510225</v>
      </c>
      <c r="Q5" s="3">
        <f t="shared" si="0"/>
        <v>2099747</v>
      </c>
    </row>
    <row r="6" spans="1:17" x14ac:dyDescent="0.2">
      <c r="A6" t="s">
        <v>435</v>
      </c>
      <c r="B6" t="s">
        <v>436</v>
      </c>
      <c r="C6" t="s">
        <v>437</v>
      </c>
      <c r="D6" s="2">
        <v>1366670000000</v>
      </c>
      <c r="E6" t="s">
        <v>438</v>
      </c>
      <c r="F6" s="2">
        <v>1618250000000</v>
      </c>
      <c r="G6" t="s">
        <v>68</v>
      </c>
      <c r="H6" s="3">
        <v>128264</v>
      </c>
      <c r="I6" s="3">
        <v>210141</v>
      </c>
      <c r="J6" s="3">
        <v>170300</v>
      </c>
      <c r="K6" s="3">
        <v>63597</v>
      </c>
      <c r="L6" s="3">
        <v>211</v>
      </c>
      <c r="M6" s="3">
        <v>452567</v>
      </c>
      <c r="N6" s="3">
        <v>22746</v>
      </c>
      <c r="O6" s="3">
        <v>19289</v>
      </c>
      <c r="P6" s="3">
        <v>210356</v>
      </c>
      <c r="Q6" s="3">
        <f t="shared" si="0"/>
        <v>1277471</v>
      </c>
    </row>
    <row r="7" spans="1:17" x14ac:dyDescent="0.2">
      <c r="A7" t="s">
        <v>502</v>
      </c>
      <c r="B7" t="s">
        <v>503</v>
      </c>
      <c r="C7" t="s">
        <v>504</v>
      </c>
      <c r="D7" s="2">
        <v>1417480000000</v>
      </c>
      <c r="E7" t="s">
        <v>505</v>
      </c>
      <c r="F7" s="2">
        <v>1619790000000</v>
      </c>
      <c r="G7" t="s">
        <v>506</v>
      </c>
      <c r="H7" s="3">
        <v>1061679</v>
      </c>
      <c r="I7" s="3">
        <v>20565096</v>
      </c>
      <c r="J7" s="3">
        <v>380190</v>
      </c>
      <c r="K7" s="3">
        <v>52080</v>
      </c>
      <c r="L7" s="3">
        <v>113</v>
      </c>
      <c r="M7" s="3">
        <v>553246</v>
      </c>
      <c r="N7" s="3">
        <v>24595</v>
      </c>
      <c r="O7" s="3">
        <v>32510</v>
      </c>
      <c r="P7" s="3">
        <v>21631895</v>
      </c>
      <c r="Q7" s="3">
        <f t="shared" si="0"/>
        <v>44301404</v>
      </c>
    </row>
    <row r="8" spans="1:17" x14ac:dyDescent="0.2">
      <c r="A8" t="s">
        <v>313</v>
      </c>
      <c r="B8" t="s">
        <v>314</v>
      </c>
      <c r="C8" t="s">
        <v>315</v>
      </c>
      <c r="D8" s="2">
        <v>1462180000000</v>
      </c>
      <c r="E8" t="s">
        <v>316</v>
      </c>
      <c r="F8" s="2">
        <v>1619810000000</v>
      </c>
      <c r="G8" t="s">
        <v>114</v>
      </c>
      <c r="H8" s="3">
        <v>658715</v>
      </c>
      <c r="I8" s="3">
        <v>1359712</v>
      </c>
      <c r="J8" s="3">
        <v>1149302</v>
      </c>
      <c r="K8" s="3">
        <v>32070</v>
      </c>
      <c r="L8" s="3">
        <v>2110</v>
      </c>
      <c r="M8" s="3">
        <v>9283576</v>
      </c>
      <c r="N8" s="3">
        <v>15731</v>
      </c>
      <c r="O8" s="3">
        <v>0</v>
      </c>
      <c r="P8" s="3">
        <v>1373407</v>
      </c>
      <c r="Q8" s="3">
        <f t="shared" si="0"/>
        <v>13874623</v>
      </c>
    </row>
    <row r="9" spans="1:17" x14ac:dyDescent="0.2">
      <c r="A9" t="s">
        <v>289</v>
      </c>
      <c r="B9" t="s">
        <v>290</v>
      </c>
      <c r="C9" t="s">
        <v>291</v>
      </c>
      <c r="D9" s="2">
        <v>1510940000000</v>
      </c>
      <c r="E9" t="s">
        <v>292</v>
      </c>
      <c r="F9" s="2">
        <v>1619550000000</v>
      </c>
      <c r="G9" t="s">
        <v>293</v>
      </c>
      <c r="H9" s="3">
        <v>154569</v>
      </c>
      <c r="I9" s="3">
        <v>724131</v>
      </c>
      <c r="J9" s="3">
        <v>468949</v>
      </c>
      <c r="K9" s="3">
        <v>30495</v>
      </c>
      <c r="L9" s="3">
        <v>9098</v>
      </c>
      <c r="M9" s="3">
        <v>1982651</v>
      </c>
      <c r="N9" s="3">
        <v>339155</v>
      </c>
      <c r="O9" s="3">
        <v>334058</v>
      </c>
      <c r="P9" s="3">
        <v>723604</v>
      </c>
      <c r="Q9" s="3">
        <f t="shared" si="0"/>
        <v>4766710</v>
      </c>
    </row>
    <row r="10" spans="1:17" x14ac:dyDescent="0.2">
      <c r="A10" t="s">
        <v>163</v>
      </c>
      <c r="B10" t="s">
        <v>164</v>
      </c>
      <c r="C10" t="s">
        <v>165</v>
      </c>
      <c r="D10" s="2">
        <v>1507640000000</v>
      </c>
      <c r="E10" t="s">
        <v>166</v>
      </c>
      <c r="F10" s="2">
        <v>1611720000000</v>
      </c>
      <c r="G10" t="s">
        <v>167</v>
      </c>
      <c r="H10" s="3">
        <v>24482</v>
      </c>
      <c r="I10" s="3">
        <v>20580</v>
      </c>
      <c r="J10" s="3">
        <v>41782</v>
      </c>
      <c r="K10" s="3">
        <v>24456</v>
      </c>
      <c r="L10" s="3">
        <v>1295</v>
      </c>
      <c r="M10" s="3">
        <v>90803</v>
      </c>
      <c r="N10" s="3">
        <v>13451</v>
      </c>
      <c r="O10" s="3">
        <v>9912</v>
      </c>
      <c r="P10" s="3">
        <v>33595</v>
      </c>
      <c r="Q10" s="3">
        <f t="shared" si="0"/>
        <v>260356</v>
      </c>
    </row>
    <row r="11" spans="1:17" x14ac:dyDescent="0.2">
      <c r="A11" t="s">
        <v>357</v>
      </c>
      <c r="B11" t="s">
        <v>358</v>
      </c>
      <c r="C11" t="s">
        <v>359</v>
      </c>
      <c r="D11" s="2">
        <v>1407170000000</v>
      </c>
      <c r="E11" t="s">
        <v>360</v>
      </c>
      <c r="F11" s="2">
        <v>1618940000000</v>
      </c>
      <c r="G11" t="s">
        <v>361</v>
      </c>
      <c r="H11" s="3">
        <v>113656</v>
      </c>
      <c r="I11" s="3">
        <v>249216</v>
      </c>
      <c r="J11" s="3">
        <v>127424</v>
      </c>
      <c r="K11" s="3">
        <v>21295</v>
      </c>
      <c r="L11" s="3">
        <v>432</v>
      </c>
      <c r="M11" s="3">
        <v>362234</v>
      </c>
      <c r="N11" s="3">
        <v>83215</v>
      </c>
      <c r="O11" s="3">
        <v>14897</v>
      </c>
      <c r="P11" s="3">
        <v>249831</v>
      </c>
      <c r="Q11" s="3">
        <f t="shared" si="0"/>
        <v>1222200</v>
      </c>
    </row>
    <row r="12" spans="1:17" x14ac:dyDescent="0.2">
      <c r="A12" t="s">
        <v>340</v>
      </c>
      <c r="B12" t="s">
        <v>341</v>
      </c>
      <c r="C12" t="s">
        <v>342</v>
      </c>
      <c r="D12" s="2">
        <v>1525110000000</v>
      </c>
      <c r="E12" t="s">
        <v>343</v>
      </c>
      <c r="F12" s="2">
        <v>1611720000000</v>
      </c>
      <c r="G12" t="s">
        <v>344</v>
      </c>
      <c r="H12" s="3">
        <v>148609</v>
      </c>
      <c r="I12" s="3">
        <v>1613405</v>
      </c>
      <c r="J12" s="3">
        <v>1373011</v>
      </c>
      <c r="K12" s="3">
        <v>20292</v>
      </c>
      <c r="L12" s="3">
        <v>23650</v>
      </c>
      <c r="M12" s="3">
        <v>2326347</v>
      </c>
      <c r="N12" s="3">
        <v>4643</v>
      </c>
      <c r="O12" s="3">
        <v>272799</v>
      </c>
      <c r="P12" s="3">
        <v>634972</v>
      </c>
      <c r="Q12" s="3">
        <f t="shared" si="0"/>
        <v>6417728</v>
      </c>
    </row>
    <row r="13" spans="1:17" x14ac:dyDescent="0.2">
      <c r="A13" t="s">
        <v>104</v>
      </c>
      <c r="B13" t="s">
        <v>105</v>
      </c>
      <c r="C13" t="s">
        <v>106</v>
      </c>
      <c r="D13" s="2">
        <v>1494960000000</v>
      </c>
      <c r="E13" t="s">
        <v>58</v>
      </c>
      <c r="F13" s="2">
        <v>1611720000000</v>
      </c>
      <c r="G13" t="s">
        <v>59</v>
      </c>
      <c r="H13" s="3">
        <v>159198</v>
      </c>
      <c r="I13" s="3">
        <v>1938894</v>
      </c>
      <c r="J13" s="3">
        <v>73381</v>
      </c>
      <c r="K13" s="3">
        <v>47</v>
      </c>
      <c r="L13" s="3">
        <v>0</v>
      </c>
      <c r="M13" s="3">
        <v>0</v>
      </c>
      <c r="N13" s="3">
        <v>169</v>
      </c>
      <c r="O13" s="3">
        <v>1562</v>
      </c>
      <c r="P13" s="3">
        <v>2137616</v>
      </c>
      <c r="Q13" s="3">
        <f t="shared" si="0"/>
        <v>4310867</v>
      </c>
    </row>
    <row r="14" spans="1:17" x14ac:dyDescent="0.2">
      <c r="A14" t="s">
        <v>486</v>
      </c>
      <c r="B14" t="s">
        <v>487</v>
      </c>
      <c r="C14" t="s">
        <v>488</v>
      </c>
      <c r="D14" s="2">
        <v>1522180000000</v>
      </c>
      <c r="E14" t="s">
        <v>166</v>
      </c>
      <c r="F14" s="2">
        <v>1611720000000</v>
      </c>
      <c r="G14" t="s">
        <v>489</v>
      </c>
      <c r="H14" s="3">
        <v>594869</v>
      </c>
      <c r="I14" s="3">
        <v>2523733</v>
      </c>
      <c r="J14" s="3">
        <v>544776</v>
      </c>
      <c r="K14" s="3">
        <v>28</v>
      </c>
      <c r="L14" s="3">
        <v>1647</v>
      </c>
      <c r="M14" s="3">
        <v>700120</v>
      </c>
      <c r="N14" s="3">
        <v>86542</v>
      </c>
      <c r="O14" s="3">
        <v>89706</v>
      </c>
      <c r="P14" s="3">
        <v>3503389</v>
      </c>
      <c r="Q14" s="3">
        <f t="shared" si="0"/>
        <v>8044810</v>
      </c>
    </row>
    <row r="15" spans="1:17" x14ac:dyDescent="0.2">
      <c r="A15" t="s">
        <v>474</v>
      </c>
      <c r="B15" t="s">
        <v>475</v>
      </c>
      <c r="C15" t="s">
        <v>476</v>
      </c>
      <c r="D15" s="2">
        <v>1402590000000</v>
      </c>
      <c r="E15" t="s">
        <v>477</v>
      </c>
      <c r="F15" s="2">
        <v>1608040000000</v>
      </c>
      <c r="H15" s="3">
        <v>4363</v>
      </c>
      <c r="I15" s="3">
        <v>4429</v>
      </c>
      <c r="J15" s="3">
        <v>173018</v>
      </c>
      <c r="K15" s="3">
        <v>25</v>
      </c>
      <c r="L15" s="3">
        <v>112</v>
      </c>
      <c r="M15" s="3">
        <v>1189</v>
      </c>
      <c r="N15" s="3">
        <v>4551</v>
      </c>
      <c r="O15" s="3">
        <v>1</v>
      </c>
      <c r="P15" s="3">
        <v>4915</v>
      </c>
      <c r="Q15" s="3">
        <f t="shared" si="0"/>
        <v>192603</v>
      </c>
    </row>
    <row r="16" spans="1:17" x14ac:dyDescent="0.2">
      <c r="A16" t="s">
        <v>303</v>
      </c>
      <c r="B16" t="s">
        <v>304</v>
      </c>
      <c r="C16" t="s">
        <v>305</v>
      </c>
      <c r="D16" s="2">
        <v>1376490000000</v>
      </c>
      <c r="E16" t="s">
        <v>306</v>
      </c>
      <c r="F16" s="2">
        <v>1619730000000</v>
      </c>
      <c r="G16" t="s">
        <v>307</v>
      </c>
      <c r="H16" s="3">
        <v>534011</v>
      </c>
      <c r="I16" s="3">
        <v>3021016</v>
      </c>
      <c r="J16" s="3">
        <v>1170760</v>
      </c>
      <c r="K16" s="3">
        <v>22</v>
      </c>
      <c r="L16" s="3">
        <v>6566</v>
      </c>
      <c r="M16" s="3">
        <v>3328799</v>
      </c>
      <c r="N16" s="3">
        <v>262306</v>
      </c>
      <c r="O16" s="3">
        <v>370290</v>
      </c>
      <c r="P16" s="3">
        <v>4102639</v>
      </c>
      <c r="Q16" s="3">
        <f t="shared" si="0"/>
        <v>12796409</v>
      </c>
    </row>
    <row r="17" spans="1:17" x14ac:dyDescent="0.2">
      <c r="A17" t="s">
        <v>625</v>
      </c>
      <c r="B17" t="s">
        <v>626</v>
      </c>
      <c r="C17" t="s">
        <v>627</v>
      </c>
      <c r="D17" s="2">
        <v>1589230000000</v>
      </c>
      <c r="E17" t="s">
        <v>628</v>
      </c>
      <c r="F17" s="2">
        <v>1619630000000</v>
      </c>
      <c r="G17" t="s">
        <v>25</v>
      </c>
      <c r="H17" s="3">
        <v>6438</v>
      </c>
      <c r="I17" s="3">
        <v>8419</v>
      </c>
      <c r="J17" s="3">
        <v>7944</v>
      </c>
      <c r="K17" s="3">
        <v>12</v>
      </c>
      <c r="L17" s="3">
        <v>3</v>
      </c>
      <c r="M17" s="3">
        <v>13413</v>
      </c>
      <c r="N17" s="3">
        <v>1458</v>
      </c>
      <c r="O17" s="3">
        <v>7900</v>
      </c>
      <c r="P17" s="3">
        <v>8419</v>
      </c>
      <c r="Q17" s="3">
        <f t="shared" si="0"/>
        <v>54006</v>
      </c>
    </row>
    <row r="18" spans="1:17" x14ac:dyDescent="0.2">
      <c r="A18" t="s">
        <v>458</v>
      </c>
      <c r="B18" t="s">
        <v>459</v>
      </c>
      <c r="C18" t="s">
        <v>460</v>
      </c>
      <c r="D18" s="2">
        <v>1390350000000</v>
      </c>
      <c r="E18" t="s">
        <v>461</v>
      </c>
      <c r="F18" s="2">
        <v>1619720000000</v>
      </c>
      <c r="G18" t="s">
        <v>68</v>
      </c>
      <c r="H18" s="3">
        <v>235096</v>
      </c>
      <c r="I18" s="3">
        <v>2039270</v>
      </c>
      <c r="J18" s="3">
        <v>150426</v>
      </c>
      <c r="K18" s="3">
        <v>8</v>
      </c>
      <c r="L18" s="3">
        <v>301</v>
      </c>
      <c r="M18" s="3">
        <v>298069</v>
      </c>
      <c r="N18" s="3">
        <v>59496</v>
      </c>
      <c r="O18" s="3">
        <v>36222</v>
      </c>
      <c r="P18" s="3">
        <v>2332144</v>
      </c>
      <c r="Q18" s="3">
        <f t="shared" si="0"/>
        <v>5151032</v>
      </c>
    </row>
    <row r="19" spans="1:17" x14ac:dyDescent="0.2">
      <c r="A19" t="s">
        <v>308</v>
      </c>
      <c r="B19" t="s">
        <v>309</v>
      </c>
      <c r="C19" t="s">
        <v>310</v>
      </c>
      <c r="D19" s="2">
        <v>1435770000000</v>
      </c>
      <c r="E19" t="s">
        <v>311</v>
      </c>
      <c r="F19" s="2">
        <v>1615570000000</v>
      </c>
      <c r="G19" t="s">
        <v>312</v>
      </c>
      <c r="H19" s="3">
        <v>67036</v>
      </c>
      <c r="I19" s="3">
        <v>336107</v>
      </c>
      <c r="J19" s="3">
        <v>91276</v>
      </c>
      <c r="K19" s="3">
        <v>8</v>
      </c>
      <c r="L19" s="3">
        <v>148</v>
      </c>
      <c r="M19" s="3">
        <v>258308</v>
      </c>
      <c r="N19" s="3">
        <v>6352</v>
      </c>
      <c r="O19" s="3">
        <v>9673</v>
      </c>
      <c r="P19" s="3">
        <v>338014</v>
      </c>
      <c r="Q19" s="3">
        <f t="shared" si="0"/>
        <v>1106922</v>
      </c>
    </row>
    <row r="20" spans="1:17" x14ac:dyDescent="0.2">
      <c r="A20" t="s">
        <v>270</v>
      </c>
      <c r="B20" t="s">
        <v>271</v>
      </c>
      <c r="C20" t="s">
        <v>272</v>
      </c>
      <c r="D20" s="2">
        <v>1468350000000</v>
      </c>
      <c r="E20" t="s">
        <v>273</v>
      </c>
      <c r="F20" s="2">
        <v>1617390000000</v>
      </c>
      <c r="G20" t="s">
        <v>274</v>
      </c>
      <c r="H20" s="3">
        <v>564215</v>
      </c>
      <c r="I20" s="3">
        <v>10548544</v>
      </c>
      <c r="J20" s="3">
        <v>349293</v>
      </c>
      <c r="K20" s="3">
        <v>7</v>
      </c>
      <c r="L20" s="3">
        <v>2</v>
      </c>
      <c r="M20" s="3">
        <v>12974</v>
      </c>
      <c r="N20" s="3">
        <v>3211</v>
      </c>
      <c r="O20" s="3">
        <v>9473</v>
      </c>
      <c r="P20" s="3">
        <v>11784014</v>
      </c>
      <c r="Q20" s="3">
        <f t="shared" si="0"/>
        <v>23271733</v>
      </c>
    </row>
    <row r="21" spans="1:17" x14ac:dyDescent="0.2">
      <c r="A21" t="s">
        <v>181</v>
      </c>
      <c r="B21" t="s">
        <v>182</v>
      </c>
      <c r="C21" t="s">
        <v>183</v>
      </c>
      <c r="D21" s="2">
        <v>1370370000000</v>
      </c>
      <c r="E21" t="s">
        <v>184</v>
      </c>
      <c r="F21" s="2">
        <v>1608040000000</v>
      </c>
      <c r="G21" t="s">
        <v>185</v>
      </c>
      <c r="H21" s="3">
        <v>230968</v>
      </c>
      <c r="I21" s="3">
        <v>856433</v>
      </c>
      <c r="J21" s="3">
        <v>252138</v>
      </c>
      <c r="K21" s="3">
        <v>5</v>
      </c>
      <c r="L21" s="3">
        <v>6</v>
      </c>
      <c r="M21" s="3">
        <v>382075</v>
      </c>
      <c r="N21" s="3">
        <v>94178</v>
      </c>
      <c r="O21" s="3">
        <v>0</v>
      </c>
      <c r="P21" s="3">
        <v>1363003</v>
      </c>
      <c r="Q21" s="3">
        <f t="shared" si="0"/>
        <v>3178806</v>
      </c>
    </row>
    <row r="22" spans="1:17" x14ac:dyDescent="0.2">
      <c r="A22" t="s">
        <v>511</v>
      </c>
      <c r="B22" t="s">
        <v>512</v>
      </c>
      <c r="C22" t="s">
        <v>513</v>
      </c>
      <c r="D22" s="2">
        <v>1466550000000</v>
      </c>
      <c r="E22" t="s">
        <v>514</v>
      </c>
      <c r="F22" s="2">
        <v>1616020000000</v>
      </c>
      <c r="G22" t="s">
        <v>274</v>
      </c>
      <c r="H22" s="3">
        <v>239151</v>
      </c>
      <c r="I22" s="3">
        <v>1468726</v>
      </c>
      <c r="J22" s="3">
        <v>65449</v>
      </c>
      <c r="K22" s="3">
        <v>4</v>
      </c>
      <c r="L22" s="3">
        <v>0</v>
      </c>
      <c r="M22" s="3">
        <v>173</v>
      </c>
      <c r="N22" s="3">
        <v>2139</v>
      </c>
      <c r="O22" s="3">
        <v>3669</v>
      </c>
      <c r="P22" s="3">
        <v>1824992</v>
      </c>
      <c r="Q22" s="3">
        <f t="shared" si="0"/>
        <v>3604303</v>
      </c>
    </row>
    <row r="23" spans="1:17" x14ac:dyDescent="0.2">
      <c r="A23" t="s">
        <v>507</v>
      </c>
      <c r="B23" t="s">
        <v>508</v>
      </c>
      <c r="C23" t="s">
        <v>509</v>
      </c>
      <c r="D23" s="2">
        <v>1366660000000</v>
      </c>
      <c r="E23" t="s">
        <v>510</v>
      </c>
      <c r="F23" s="2">
        <v>1617390000000</v>
      </c>
      <c r="G23" t="s">
        <v>20</v>
      </c>
      <c r="H23" s="3">
        <v>3156873</v>
      </c>
      <c r="I23" s="3">
        <v>10412939</v>
      </c>
      <c r="J23" s="3">
        <v>613784</v>
      </c>
      <c r="K23" s="3">
        <v>3</v>
      </c>
      <c r="L23" s="3">
        <v>18</v>
      </c>
      <c r="M23" s="3">
        <v>296064</v>
      </c>
      <c r="N23" s="3">
        <v>30765</v>
      </c>
      <c r="O23" s="3">
        <v>68684</v>
      </c>
      <c r="P23" s="3">
        <v>13696726</v>
      </c>
      <c r="Q23" s="3">
        <f t="shared" si="0"/>
        <v>28275856</v>
      </c>
    </row>
    <row r="24" spans="1:17" x14ac:dyDescent="0.2">
      <c r="A24" t="s">
        <v>321</v>
      </c>
      <c r="B24" t="s">
        <v>322</v>
      </c>
      <c r="C24" t="s">
        <v>323</v>
      </c>
      <c r="D24" s="2">
        <v>1492570000000</v>
      </c>
      <c r="E24" t="s">
        <v>324</v>
      </c>
      <c r="F24" s="2">
        <v>1619030000000</v>
      </c>
      <c r="G24" t="s">
        <v>35</v>
      </c>
      <c r="H24" s="3">
        <v>342081</v>
      </c>
      <c r="I24" s="3">
        <v>3649912</v>
      </c>
      <c r="J24" s="3">
        <v>124246</v>
      </c>
      <c r="K24" s="3">
        <v>3</v>
      </c>
      <c r="L24" s="3">
        <v>0</v>
      </c>
      <c r="M24" s="3">
        <v>0</v>
      </c>
      <c r="N24" s="3">
        <v>1850</v>
      </c>
      <c r="O24" s="3">
        <v>4486</v>
      </c>
      <c r="P24" s="3">
        <v>3982040</v>
      </c>
      <c r="Q24" s="3">
        <f t="shared" si="0"/>
        <v>8104618</v>
      </c>
    </row>
    <row r="25" spans="1:17" x14ac:dyDescent="0.2">
      <c r="A25" t="s">
        <v>150</v>
      </c>
      <c r="B25" t="s">
        <v>151</v>
      </c>
      <c r="C25" t="s">
        <v>152</v>
      </c>
      <c r="D25" s="2">
        <v>1481740000000</v>
      </c>
      <c r="E25" t="s">
        <v>153</v>
      </c>
      <c r="F25" s="2">
        <v>1619540000000</v>
      </c>
      <c r="G25" t="s">
        <v>154</v>
      </c>
      <c r="H25" s="3">
        <v>325869</v>
      </c>
      <c r="I25" s="3">
        <v>2356542</v>
      </c>
      <c r="J25" s="3">
        <v>19429</v>
      </c>
      <c r="K25" s="3">
        <v>3</v>
      </c>
      <c r="L25" s="3">
        <v>2132</v>
      </c>
      <c r="M25" s="3">
        <v>42243</v>
      </c>
      <c r="N25" s="3">
        <v>9677</v>
      </c>
      <c r="O25" s="3">
        <v>3945</v>
      </c>
      <c r="P25" s="3">
        <v>3895878</v>
      </c>
      <c r="Q25" s="3">
        <f t="shared" si="0"/>
        <v>6655718</v>
      </c>
    </row>
    <row r="26" spans="1:17" x14ac:dyDescent="0.2">
      <c r="A26" t="s">
        <v>26</v>
      </c>
      <c r="B26" t="s">
        <v>27</v>
      </c>
      <c r="C26" t="s">
        <v>28</v>
      </c>
      <c r="D26" s="2">
        <v>1366650000000</v>
      </c>
      <c r="E26" t="s">
        <v>29</v>
      </c>
      <c r="F26" s="2">
        <v>1619550000000</v>
      </c>
      <c r="G26" t="s">
        <v>30</v>
      </c>
      <c r="H26" s="3">
        <v>148989</v>
      </c>
      <c r="I26" s="3">
        <v>1339952</v>
      </c>
      <c r="J26" s="3">
        <v>130898</v>
      </c>
      <c r="K26" s="3">
        <v>3</v>
      </c>
      <c r="L26" s="3">
        <v>96</v>
      </c>
      <c r="M26" s="3">
        <v>255618</v>
      </c>
      <c r="N26" s="3">
        <v>22555</v>
      </c>
      <c r="O26" s="3">
        <v>11279</v>
      </c>
      <c r="P26" s="3">
        <v>1470853</v>
      </c>
      <c r="Q26" s="3">
        <f t="shared" si="0"/>
        <v>3380243</v>
      </c>
    </row>
    <row r="27" spans="1:17" x14ac:dyDescent="0.2">
      <c r="A27" t="s">
        <v>462</v>
      </c>
      <c r="B27" t="s">
        <v>463</v>
      </c>
      <c r="C27" t="s">
        <v>464</v>
      </c>
      <c r="D27" s="2">
        <v>1435760000000</v>
      </c>
      <c r="E27" t="s">
        <v>465</v>
      </c>
      <c r="F27" s="2">
        <v>1611600000000</v>
      </c>
      <c r="G27" t="s">
        <v>68</v>
      </c>
      <c r="H27" s="3">
        <v>112804</v>
      </c>
      <c r="I27" s="3">
        <v>239675</v>
      </c>
      <c r="J27" s="3">
        <v>45711</v>
      </c>
      <c r="K27" s="3">
        <v>3</v>
      </c>
      <c r="L27" s="3">
        <v>296</v>
      </c>
      <c r="M27" s="3">
        <v>130156</v>
      </c>
      <c r="N27" s="3">
        <v>6659</v>
      </c>
      <c r="O27" s="3">
        <v>5055</v>
      </c>
      <c r="P27" s="3">
        <v>240217</v>
      </c>
      <c r="Q27" s="3">
        <f t="shared" si="0"/>
        <v>780576</v>
      </c>
    </row>
    <row r="28" spans="1:17" x14ac:dyDescent="0.2">
      <c r="A28" t="s">
        <v>329</v>
      </c>
      <c r="B28" t="s">
        <v>330</v>
      </c>
      <c r="C28" t="s">
        <v>331</v>
      </c>
      <c r="D28" s="2">
        <v>1415660000000</v>
      </c>
      <c r="E28" t="s">
        <v>332</v>
      </c>
      <c r="F28" s="2">
        <v>1615820000000</v>
      </c>
      <c r="G28" t="s">
        <v>185</v>
      </c>
      <c r="H28" s="3">
        <v>73180</v>
      </c>
      <c r="I28" s="3">
        <v>244807</v>
      </c>
      <c r="J28" s="3">
        <v>416359</v>
      </c>
      <c r="K28" s="3">
        <v>3</v>
      </c>
      <c r="L28" s="3">
        <v>245</v>
      </c>
      <c r="M28" s="3">
        <v>339322</v>
      </c>
      <c r="N28" s="3">
        <v>14788</v>
      </c>
      <c r="O28" s="3">
        <v>8054</v>
      </c>
      <c r="P28" s="3">
        <v>301188</v>
      </c>
      <c r="Q28" s="3">
        <f t="shared" si="0"/>
        <v>1397946</v>
      </c>
    </row>
    <row r="29" spans="1:17" x14ac:dyDescent="0.2">
      <c r="A29" t="s">
        <v>204</v>
      </c>
      <c r="B29" t="s">
        <v>205</v>
      </c>
      <c r="C29" t="s">
        <v>206</v>
      </c>
      <c r="D29" s="2">
        <v>1492460000000</v>
      </c>
      <c r="E29" t="s">
        <v>207</v>
      </c>
      <c r="F29" s="2">
        <v>1619550000000</v>
      </c>
      <c r="H29" s="3">
        <v>28</v>
      </c>
      <c r="I29" s="3">
        <v>32</v>
      </c>
      <c r="J29" s="3">
        <v>37</v>
      </c>
      <c r="K29" s="3">
        <v>3</v>
      </c>
      <c r="L29" s="3">
        <v>1</v>
      </c>
      <c r="M29" s="3">
        <v>65</v>
      </c>
      <c r="N29" s="3">
        <v>26</v>
      </c>
      <c r="O29" s="3">
        <v>9</v>
      </c>
      <c r="P29" s="3">
        <v>33</v>
      </c>
      <c r="Q29" s="3">
        <f t="shared" si="0"/>
        <v>234</v>
      </c>
    </row>
    <row r="30" spans="1:17" x14ac:dyDescent="0.2">
      <c r="A30" t="s">
        <v>60</v>
      </c>
      <c r="B30" t="s">
        <v>61</v>
      </c>
      <c r="C30" t="s">
        <v>62</v>
      </c>
      <c r="D30" s="2">
        <v>1366660000000</v>
      </c>
      <c r="E30" t="s">
        <v>63</v>
      </c>
      <c r="F30" s="2">
        <v>1619620000000</v>
      </c>
      <c r="G30" t="s">
        <v>20</v>
      </c>
      <c r="H30" s="3">
        <v>1078476</v>
      </c>
      <c r="I30" s="3">
        <v>8654048</v>
      </c>
      <c r="J30" s="3">
        <v>1107199</v>
      </c>
      <c r="K30" s="3">
        <v>2</v>
      </c>
      <c r="L30" s="3">
        <v>695</v>
      </c>
      <c r="M30" s="3">
        <v>1892737</v>
      </c>
      <c r="N30" s="3">
        <v>65276</v>
      </c>
      <c r="O30" s="3">
        <v>56595</v>
      </c>
      <c r="P30" s="3">
        <v>9753462</v>
      </c>
      <c r="Q30" s="3">
        <f t="shared" si="0"/>
        <v>22608490</v>
      </c>
    </row>
    <row r="31" spans="1:17" x14ac:dyDescent="0.2">
      <c r="A31" t="s">
        <v>541</v>
      </c>
      <c r="B31" t="s">
        <v>542</v>
      </c>
      <c r="C31" t="s">
        <v>543</v>
      </c>
      <c r="D31" s="2">
        <v>1424900000000</v>
      </c>
      <c r="E31" t="s">
        <v>544</v>
      </c>
      <c r="F31" s="2">
        <v>1614120000000</v>
      </c>
      <c r="G31" t="s">
        <v>25</v>
      </c>
      <c r="H31" s="3">
        <v>860838</v>
      </c>
      <c r="I31" s="3">
        <v>2288334</v>
      </c>
      <c r="J31" s="3">
        <v>864747</v>
      </c>
      <c r="K31" s="3">
        <v>2</v>
      </c>
      <c r="L31" s="3">
        <v>2406</v>
      </c>
      <c r="M31" s="3">
        <v>2552138</v>
      </c>
      <c r="N31" s="3">
        <v>66198</v>
      </c>
      <c r="O31" s="3">
        <v>129479</v>
      </c>
      <c r="P31" s="3">
        <v>2288339</v>
      </c>
      <c r="Q31" s="3">
        <f t="shared" si="0"/>
        <v>9052481</v>
      </c>
    </row>
    <row r="32" spans="1:17" x14ac:dyDescent="0.2">
      <c r="A32" t="s">
        <v>77</v>
      </c>
      <c r="B32" t="s">
        <v>78</v>
      </c>
      <c r="C32" t="s">
        <v>79</v>
      </c>
      <c r="D32" s="2">
        <v>1370390000000</v>
      </c>
      <c r="E32" t="s">
        <v>80</v>
      </c>
      <c r="F32" s="2">
        <v>1611720000000</v>
      </c>
      <c r="G32" t="s">
        <v>81</v>
      </c>
      <c r="H32" s="3">
        <v>221067</v>
      </c>
      <c r="I32" s="3">
        <v>635287</v>
      </c>
      <c r="J32" s="3">
        <v>402885</v>
      </c>
      <c r="K32" s="3">
        <v>2</v>
      </c>
      <c r="L32" s="3">
        <v>7</v>
      </c>
      <c r="M32" s="3">
        <v>854061</v>
      </c>
      <c r="N32" s="3">
        <v>26654</v>
      </c>
      <c r="O32" s="3">
        <v>0</v>
      </c>
      <c r="P32" s="3">
        <v>976962</v>
      </c>
      <c r="Q32" s="3">
        <f t="shared" si="0"/>
        <v>3116925</v>
      </c>
    </row>
    <row r="33" spans="1:17" x14ac:dyDescent="0.2">
      <c r="A33" t="s">
        <v>393</v>
      </c>
      <c r="B33" t="s">
        <v>394</v>
      </c>
      <c r="C33" t="s">
        <v>395</v>
      </c>
      <c r="D33" s="2">
        <v>1371590000000</v>
      </c>
      <c r="E33" t="s">
        <v>396</v>
      </c>
      <c r="F33" s="2">
        <v>1619790000000</v>
      </c>
      <c r="G33" t="s">
        <v>212</v>
      </c>
      <c r="H33" s="3">
        <v>4331429</v>
      </c>
      <c r="I33" s="3">
        <v>15369787</v>
      </c>
      <c r="J33" s="3">
        <v>2501539</v>
      </c>
      <c r="K33" s="3">
        <v>1</v>
      </c>
      <c r="L33" s="3">
        <v>198</v>
      </c>
      <c r="M33" s="3">
        <v>396685</v>
      </c>
      <c r="N33" s="3">
        <v>105923</v>
      </c>
      <c r="O33" s="3">
        <v>108339</v>
      </c>
      <c r="P33" s="3">
        <v>19557215</v>
      </c>
      <c r="Q33" s="3">
        <f t="shared" si="0"/>
        <v>42371116</v>
      </c>
    </row>
    <row r="34" spans="1:17" x14ac:dyDescent="0.2">
      <c r="A34" t="s">
        <v>388</v>
      </c>
      <c r="B34" t="s">
        <v>389</v>
      </c>
      <c r="C34" t="s">
        <v>390</v>
      </c>
      <c r="D34" s="2">
        <v>1372180000000</v>
      </c>
      <c r="E34" t="s">
        <v>391</v>
      </c>
      <c r="F34" s="2">
        <v>1619200000000</v>
      </c>
      <c r="G34" t="s">
        <v>392</v>
      </c>
      <c r="H34" s="3">
        <v>1277572</v>
      </c>
      <c r="I34" s="3">
        <v>3296681</v>
      </c>
      <c r="J34" s="3">
        <v>1096540</v>
      </c>
      <c r="K34" s="3">
        <v>1</v>
      </c>
      <c r="L34" s="3">
        <v>848</v>
      </c>
      <c r="M34" s="3">
        <v>1747771</v>
      </c>
      <c r="N34" s="3">
        <v>223182</v>
      </c>
      <c r="O34" s="3">
        <v>42339</v>
      </c>
      <c r="P34" s="3">
        <v>8890660</v>
      </c>
      <c r="Q34" s="3">
        <f t="shared" ref="Q34:Q65" si="1">SUM(H34:P34)</f>
        <v>16575594</v>
      </c>
    </row>
    <row r="35" spans="1:17" x14ac:dyDescent="0.2">
      <c r="A35" s="1" t="s">
        <v>64</v>
      </c>
      <c r="B35" t="s">
        <v>65</v>
      </c>
      <c r="C35" t="s">
        <v>66</v>
      </c>
      <c r="D35" s="2">
        <v>1429630000000</v>
      </c>
      <c r="E35" t="s">
        <v>67</v>
      </c>
      <c r="F35" s="2">
        <v>1617140000000</v>
      </c>
      <c r="G35" t="s">
        <v>68</v>
      </c>
      <c r="H35" s="3">
        <v>924370</v>
      </c>
      <c r="I35" s="3">
        <v>1957692</v>
      </c>
      <c r="J35" s="3">
        <v>713645</v>
      </c>
      <c r="K35" s="3">
        <v>1</v>
      </c>
      <c r="L35" s="3">
        <v>3253</v>
      </c>
      <c r="M35" s="3">
        <v>2315411</v>
      </c>
      <c r="N35" s="3">
        <v>78353</v>
      </c>
      <c r="O35" s="3">
        <v>78199</v>
      </c>
      <c r="P35" s="3">
        <v>2043702</v>
      </c>
      <c r="Q35" s="3">
        <f t="shared" si="1"/>
        <v>8114626</v>
      </c>
    </row>
    <row r="36" spans="1:17" x14ac:dyDescent="0.2">
      <c r="A36" t="s">
        <v>401</v>
      </c>
      <c r="B36" t="s">
        <v>402</v>
      </c>
      <c r="C36" t="s">
        <v>403</v>
      </c>
      <c r="D36" s="2">
        <v>1442500000000</v>
      </c>
      <c r="E36" t="s">
        <v>404</v>
      </c>
      <c r="F36" s="2">
        <v>1618950000000</v>
      </c>
      <c r="G36" t="s">
        <v>20</v>
      </c>
      <c r="H36" s="3">
        <v>644753</v>
      </c>
      <c r="I36" s="3">
        <v>4248667</v>
      </c>
      <c r="J36" s="3">
        <v>926225</v>
      </c>
      <c r="K36" s="3">
        <v>1</v>
      </c>
      <c r="L36" s="3">
        <v>135</v>
      </c>
      <c r="M36" s="3">
        <v>231957</v>
      </c>
      <c r="N36" s="3">
        <v>27638</v>
      </c>
      <c r="O36" s="3">
        <v>57710</v>
      </c>
      <c r="P36" s="3">
        <v>4922419</v>
      </c>
      <c r="Q36" s="3">
        <f t="shared" si="1"/>
        <v>11059505</v>
      </c>
    </row>
    <row r="37" spans="1:17" x14ac:dyDescent="0.2">
      <c r="A37" t="s">
        <v>275</v>
      </c>
      <c r="B37" t="s">
        <v>276</v>
      </c>
      <c r="C37" t="s">
        <v>277</v>
      </c>
      <c r="D37" s="2">
        <v>1490020000000</v>
      </c>
      <c r="E37" t="s">
        <v>278</v>
      </c>
      <c r="F37" s="2">
        <v>1619100000000</v>
      </c>
      <c r="G37" t="s">
        <v>279</v>
      </c>
      <c r="H37" s="3">
        <v>409207</v>
      </c>
      <c r="I37" s="3">
        <v>6020320</v>
      </c>
      <c r="J37" s="3">
        <v>393924</v>
      </c>
      <c r="K37" s="3">
        <v>1</v>
      </c>
      <c r="L37" s="3">
        <v>0</v>
      </c>
      <c r="M37" s="3">
        <v>0</v>
      </c>
      <c r="N37" s="3">
        <v>2298</v>
      </c>
      <c r="O37" s="3">
        <v>5503</v>
      </c>
      <c r="P37" s="3">
        <v>6252298</v>
      </c>
      <c r="Q37" s="3">
        <f t="shared" si="1"/>
        <v>13083551</v>
      </c>
    </row>
    <row r="38" spans="1:17" x14ac:dyDescent="0.2">
      <c r="A38" t="s">
        <v>73</v>
      </c>
      <c r="B38" t="s">
        <v>74</v>
      </c>
      <c r="C38" t="s">
        <v>75</v>
      </c>
      <c r="D38" s="2">
        <v>1435240000000</v>
      </c>
      <c r="E38" t="s">
        <v>58</v>
      </c>
      <c r="F38" s="2">
        <v>1611720000000</v>
      </c>
      <c r="G38" t="s">
        <v>76</v>
      </c>
      <c r="H38" s="3">
        <v>387369</v>
      </c>
      <c r="I38" s="3">
        <v>951784</v>
      </c>
      <c r="J38" s="3">
        <v>90728</v>
      </c>
      <c r="K38" s="3">
        <v>1</v>
      </c>
      <c r="L38" s="3">
        <v>11</v>
      </c>
      <c r="M38" s="3">
        <v>13004</v>
      </c>
      <c r="N38" s="3">
        <v>8752</v>
      </c>
      <c r="O38" s="3">
        <v>2444</v>
      </c>
      <c r="P38" s="3">
        <v>1263550</v>
      </c>
      <c r="Q38" s="3">
        <f t="shared" si="1"/>
        <v>2717643</v>
      </c>
    </row>
    <row r="39" spans="1:17" x14ac:dyDescent="0.2">
      <c r="A39" t="s">
        <v>41</v>
      </c>
      <c r="B39" t="s">
        <v>42</v>
      </c>
      <c r="C39" t="s">
        <v>43</v>
      </c>
      <c r="D39" s="2">
        <v>1501590000000</v>
      </c>
      <c r="E39" t="s">
        <v>44</v>
      </c>
      <c r="F39" s="2">
        <v>1619190000000</v>
      </c>
      <c r="G39" t="s">
        <v>35</v>
      </c>
      <c r="H39" s="3">
        <v>292761</v>
      </c>
      <c r="I39" s="3">
        <v>801921</v>
      </c>
      <c r="J39" s="3">
        <v>220925</v>
      </c>
      <c r="K39" s="3">
        <v>1</v>
      </c>
      <c r="L39" s="3">
        <v>0</v>
      </c>
      <c r="M39" s="3">
        <v>0</v>
      </c>
      <c r="N39" s="3">
        <v>2200</v>
      </c>
      <c r="O39" s="3">
        <v>5561</v>
      </c>
      <c r="P39" s="3">
        <v>1510069</v>
      </c>
      <c r="Q39" s="3">
        <f t="shared" si="1"/>
        <v>2833438</v>
      </c>
    </row>
    <row r="40" spans="1:17" x14ac:dyDescent="0.2">
      <c r="A40" t="s">
        <v>439</v>
      </c>
      <c r="B40" t="s">
        <v>440</v>
      </c>
      <c r="C40" t="s">
        <v>441</v>
      </c>
      <c r="D40" s="2">
        <v>1470260000000</v>
      </c>
      <c r="E40" t="s">
        <v>442</v>
      </c>
      <c r="F40" s="2">
        <v>1611720000000</v>
      </c>
      <c r="G40" t="s">
        <v>443</v>
      </c>
      <c r="H40" s="3">
        <v>43733</v>
      </c>
      <c r="I40" s="3">
        <v>57351</v>
      </c>
      <c r="J40" s="3">
        <v>100339</v>
      </c>
      <c r="K40" s="3">
        <v>1</v>
      </c>
      <c r="L40" s="3">
        <v>1537</v>
      </c>
      <c r="M40" s="3">
        <v>223934</v>
      </c>
      <c r="N40" s="3">
        <v>24059</v>
      </c>
      <c r="O40" s="3">
        <v>9229</v>
      </c>
      <c r="P40" s="3">
        <v>57579</v>
      </c>
      <c r="Q40" s="3">
        <f t="shared" si="1"/>
        <v>517762</v>
      </c>
    </row>
    <row r="41" spans="1:17" x14ac:dyDescent="0.2">
      <c r="A41" t="s">
        <v>444</v>
      </c>
      <c r="B41" t="s">
        <v>445</v>
      </c>
      <c r="C41" t="s">
        <v>446</v>
      </c>
      <c r="D41" s="2">
        <v>1497230000000</v>
      </c>
      <c r="E41" t="s">
        <v>447</v>
      </c>
      <c r="F41" s="2">
        <v>1619480000000</v>
      </c>
      <c r="G41" t="s">
        <v>448</v>
      </c>
      <c r="H41" s="3">
        <v>34276</v>
      </c>
      <c r="I41" s="3">
        <v>71123</v>
      </c>
      <c r="J41" s="3">
        <v>33785</v>
      </c>
      <c r="K41" s="3">
        <v>1</v>
      </c>
      <c r="L41" s="3">
        <v>74</v>
      </c>
      <c r="M41" s="3">
        <v>94136</v>
      </c>
      <c r="N41" s="3">
        <v>7152</v>
      </c>
      <c r="O41" s="3">
        <v>9417</v>
      </c>
      <c r="P41" s="3">
        <v>171995</v>
      </c>
      <c r="Q41" s="3">
        <f t="shared" si="1"/>
        <v>421959</v>
      </c>
    </row>
    <row r="42" spans="1:17" x14ac:dyDescent="0.2">
      <c r="A42" t="s">
        <v>16</v>
      </c>
      <c r="B42" t="s">
        <v>17</v>
      </c>
      <c r="C42" t="s">
        <v>18</v>
      </c>
      <c r="D42" s="2">
        <v>1426800000000</v>
      </c>
      <c r="E42" t="s">
        <v>19</v>
      </c>
      <c r="F42" s="2">
        <v>1619470000000</v>
      </c>
      <c r="G42" t="s">
        <v>20</v>
      </c>
      <c r="H42" s="3">
        <v>2577357</v>
      </c>
      <c r="I42" s="3">
        <v>11749621</v>
      </c>
      <c r="J42" s="3">
        <v>3405152</v>
      </c>
      <c r="K42" s="3">
        <v>0</v>
      </c>
      <c r="L42" s="3">
        <v>2751</v>
      </c>
      <c r="M42" s="3">
        <v>7844651</v>
      </c>
      <c r="N42" s="3">
        <v>171107</v>
      </c>
      <c r="O42" s="3">
        <v>828447</v>
      </c>
      <c r="P42" s="3">
        <v>15394392</v>
      </c>
      <c r="Q42" s="3">
        <f t="shared" si="1"/>
        <v>41973478</v>
      </c>
    </row>
    <row r="43" spans="1:17" x14ac:dyDescent="0.2">
      <c r="A43" t="s">
        <v>591</v>
      </c>
      <c r="B43" t="s">
        <v>592</v>
      </c>
      <c r="C43" t="s">
        <v>593</v>
      </c>
      <c r="D43" s="2">
        <v>1535470000000</v>
      </c>
      <c r="E43" t="s">
        <v>594</v>
      </c>
      <c r="F43" s="2">
        <v>1618500000000</v>
      </c>
      <c r="G43" t="s">
        <v>35</v>
      </c>
      <c r="H43" s="3">
        <v>1358889</v>
      </c>
      <c r="I43" s="3">
        <v>4941838</v>
      </c>
      <c r="J43" s="3">
        <v>697646</v>
      </c>
      <c r="K43" s="3">
        <v>0</v>
      </c>
      <c r="L43" s="3">
        <v>0</v>
      </c>
      <c r="M43" s="3">
        <v>0</v>
      </c>
      <c r="N43" s="3">
        <v>2203</v>
      </c>
      <c r="O43" s="3">
        <v>0</v>
      </c>
      <c r="P43" s="3">
        <v>3678569</v>
      </c>
      <c r="Q43" s="3">
        <f t="shared" si="1"/>
        <v>10679145</v>
      </c>
    </row>
    <row r="44" spans="1:17" x14ac:dyDescent="0.2">
      <c r="A44" t="s">
        <v>317</v>
      </c>
      <c r="B44" t="s">
        <v>318</v>
      </c>
      <c r="C44" t="s">
        <v>319</v>
      </c>
      <c r="D44" s="2">
        <v>1462820000000</v>
      </c>
      <c r="E44" t="s">
        <v>320</v>
      </c>
      <c r="F44" s="2">
        <v>1619790000000</v>
      </c>
      <c r="G44" t="s">
        <v>35</v>
      </c>
      <c r="H44" s="3">
        <v>989866</v>
      </c>
      <c r="I44" s="3">
        <v>2836728</v>
      </c>
      <c r="J44" s="3">
        <v>873784</v>
      </c>
      <c r="K44" s="3">
        <v>0</v>
      </c>
      <c r="L44" s="3">
        <v>0</v>
      </c>
      <c r="M44" s="3">
        <v>0</v>
      </c>
      <c r="N44" s="3">
        <v>8674</v>
      </c>
      <c r="O44" s="3">
        <v>9821</v>
      </c>
      <c r="P44" s="3">
        <v>4296437</v>
      </c>
      <c r="Q44" s="3">
        <f t="shared" si="1"/>
        <v>9015310</v>
      </c>
    </row>
    <row r="45" spans="1:17" x14ac:dyDescent="0.2">
      <c r="A45" t="s">
        <v>634</v>
      </c>
      <c r="B45" t="s">
        <v>635</v>
      </c>
      <c r="C45" t="s">
        <v>636</v>
      </c>
      <c r="D45" s="2">
        <v>1559750000000</v>
      </c>
      <c r="E45" t="s">
        <v>637</v>
      </c>
      <c r="F45" s="2">
        <v>1619730000000</v>
      </c>
      <c r="G45" t="s">
        <v>94</v>
      </c>
      <c r="H45" s="3">
        <v>965892</v>
      </c>
      <c r="I45" s="3">
        <v>2892017</v>
      </c>
      <c r="J45" s="3">
        <v>40685</v>
      </c>
      <c r="K45" s="3">
        <v>0</v>
      </c>
      <c r="L45" s="3">
        <v>0</v>
      </c>
      <c r="M45" s="3">
        <v>0</v>
      </c>
      <c r="N45" s="3">
        <v>1892</v>
      </c>
      <c r="O45" s="3">
        <v>0</v>
      </c>
      <c r="P45" s="3">
        <v>6301978</v>
      </c>
      <c r="Q45" s="3">
        <f t="shared" si="1"/>
        <v>10202464</v>
      </c>
    </row>
    <row r="46" spans="1:17" x14ac:dyDescent="0.2">
      <c r="A46" s="1" t="s">
        <v>545</v>
      </c>
      <c r="B46" t="s">
        <v>546</v>
      </c>
      <c r="C46" t="s">
        <v>547</v>
      </c>
      <c r="D46" s="2">
        <v>1410530000000</v>
      </c>
      <c r="E46" t="s">
        <v>548</v>
      </c>
      <c r="F46" s="2">
        <v>1619190000000</v>
      </c>
      <c r="G46" t="s">
        <v>549</v>
      </c>
      <c r="H46" s="3">
        <v>806550</v>
      </c>
      <c r="I46" s="3">
        <v>2291030</v>
      </c>
      <c r="J46" s="3">
        <v>596368</v>
      </c>
      <c r="K46" s="3">
        <v>0</v>
      </c>
      <c r="L46" s="3">
        <v>58</v>
      </c>
      <c r="M46" s="3">
        <v>213527</v>
      </c>
      <c r="N46" s="3">
        <v>30097</v>
      </c>
      <c r="O46" s="3">
        <v>12764</v>
      </c>
      <c r="P46" s="3">
        <v>3318308</v>
      </c>
      <c r="Q46" s="3">
        <f t="shared" si="1"/>
        <v>7268702</v>
      </c>
    </row>
    <row r="47" spans="1:17" x14ac:dyDescent="0.2">
      <c r="A47" t="s">
        <v>379</v>
      </c>
      <c r="B47" t="s">
        <v>380</v>
      </c>
      <c r="C47" t="s">
        <v>381</v>
      </c>
      <c r="D47" s="2">
        <v>1530800000000</v>
      </c>
      <c r="E47" t="s">
        <v>382</v>
      </c>
      <c r="F47" s="2">
        <v>1618510000000</v>
      </c>
      <c r="G47" t="s">
        <v>383</v>
      </c>
      <c r="H47" s="3">
        <v>764096</v>
      </c>
      <c r="I47" s="3">
        <v>2532218</v>
      </c>
      <c r="J47" s="3">
        <v>349705</v>
      </c>
      <c r="K47" s="3">
        <v>0</v>
      </c>
      <c r="L47" s="3">
        <v>739</v>
      </c>
      <c r="M47" s="3">
        <v>752153</v>
      </c>
      <c r="N47" s="3">
        <v>43611</v>
      </c>
      <c r="O47" s="3">
        <v>18491</v>
      </c>
      <c r="P47" s="3">
        <v>3149557</v>
      </c>
      <c r="Q47" s="3">
        <f t="shared" si="1"/>
        <v>7610570</v>
      </c>
    </row>
    <row r="48" spans="1:17" x14ac:dyDescent="0.2">
      <c r="A48" t="s">
        <v>679</v>
      </c>
      <c r="B48" t="s">
        <v>680</v>
      </c>
      <c r="C48" t="s">
        <v>681</v>
      </c>
      <c r="D48" s="2">
        <v>1536760000000</v>
      </c>
      <c r="E48" t="s">
        <v>682</v>
      </c>
      <c r="F48" s="2">
        <v>1618510000000</v>
      </c>
      <c r="G48" t="s">
        <v>683</v>
      </c>
      <c r="H48" s="3">
        <v>726538</v>
      </c>
      <c r="I48" s="3">
        <v>7064891</v>
      </c>
      <c r="J48" s="3">
        <v>129373</v>
      </c>
      <c r="K48" s="3">
        <v>0</v>
      </c>
      <c r="L48" s="3">
        <v>0</v>
      </c>
      <c r="M48" s="3">
        <v>0</v>
      </c>
      <c r="N48" s="3">
        <v>1045</v>
      </c>
      <c r="O48" s="3">
        <v>0</v>
      </c>
      <c r="P48" s="3">
        <v>8079353</v>
      </c>
      <c r="Q48" s="3">
        <f t="shared" si="1"/>
        <v>16001200</v>
      </c>
    </row>
    <row r="49" spans="1:17" x14ac:dyDescent="0.2">
      <c r="A49" t="s">
        <v>208</v>
      </c>
      <c r="B49" t="s">
        <v>209</v>
      </c>
      <c r="C49" t="s">
        <v>210</v>
      </c>
      <c r="D49" s="2">
        <v>1505790000000</v>
      </c>
      <c r="E49" t="s">
        <v>211</v>
      </c>
      <c r="F49" s="2">
        <v>1618500000000</v>
      </c>
      <c r="G49" t="s">
        <v>212</v>
      </c>
      <c r="H49" s="3">
        <v>725242</v>
      </c>
      <c r="I49" s="3">
        <v>8314409</v>
      </c>
      <c r="J49" s="3">
        <v>655847</v>
      </c>
      <c r="K49" s="3">
        <v>0</v>
      </c>
      <c r="L49" s="3">
        <v>139</v>
      </c>
      <c r="M49" s="3">
        <v>172961</v>
      </c>
      <c r="N49" s="3">
        <v>19558</v>
      </c>
      <c r="O49" s="3">
        <v>45298</v>
      </c>
      <c r="P49" s="3">
        <v>8851256</v>
      </c>
      <c r="Q49" s="3">
        <f t="shared" si="1"/>
        <v>18784710</v>
      </c>
    </row>
    <row r="50" spans="1:17" x14ac:dyDescent="0.2">
      <c r="A50" t="s">
        <v>90</v>
      </c>
      <c r="B50" t="s">
        <v>91</v>
      </c>
      <c r="C50" t="s">
        <v>92</v>
      </c>
      <c r="D50" s="2">
        <v>1520970000000</v>
      </c>
      <c r="E50" t="s">
        <v>93</v>
      </c>
      <c r="F50" s="2">
        <v>1619970000000</v>
      </c>
      <c r="G50" t="s">
        <v>94</v>
      </c>
      <c r="H50" s="3">
        <v>724652</v>
      </c>
      <c r="I50" s="3">
        <v>16858182</v>
      </c>
      <c r="J50" s="3">
        <v>604917</v>
      </c>
      <c r="K50" s="3">
        <v>0</v>
      </c>
      <c r="L50" s="3">
        <v>0</v>
      </c>
      <c r="M50" s="3">
        <v>0</v>
      </c>
      <c r="N50" s="3">
        <v>7783</v>
      </c>
      <c r="O50" s="3">
        <v>11039</v>
      </c>
      <c r="P50" s="3">
        <v>17430587</v>
      </c>
      <c r="Q50" s="3">
        <f t="shared" si="1"/>
        <v>35637160</v>
      </c>
    </row>
    <row r="51" spans="1:17" x14ac:dyDescent="0.2">
      <c r="A51" t="s">
        <v>345</v>
      </c>
      <c r="B51" t="s">
        <v>346</v>
      </c>
      <c r="C51" t="s">
        <v>347</v>
      </c>
      <c r="D51" s="2">
        <v>1533130000000</v>
      </c>
      <c r="E51" t="s">
        <v>348</v>
      </c>
      <c r="F51" s="2">
        <v>1618420000000</v>
      </c>
      <c r="G51" t="s">
        <v>149</v>
      </c>
      <c r="H51" s="3">
        <v>608507</v>
      </c>
      <c r="I51" s="3">
        <v>3028875</v>
      </c>
      <c r="J51" s="3">
        <v>22371</v>
      </c>
      <c r="K51" s="3">
        <v>0</v>
      </c>
      <c r="L51" s="3">
        <v>0</v>
      </c>
      <c r="M51" s="3">
        <v>0</v>
      </c>
      <c r="N51" s="3">
        <v>173</v>
      </c>
      <c r="O51" s="3">
        <v>0</v>
      </c>
      <c r="P51" s="3">
        <v>3192102</v>
      </c>
      <c r="Q51" s="3">
        <f t="shared" si="1"/>
        <v>6852028</v>
      </c>
    </row>
    <row r="52" spans="1:17" x14ac:dyDescent="0.2">
      <c r="A52" t="s">
        <v>100</v>
      </c>
      <c r="B52" t="s">
        <v>101</v>
      </c>
      <c r="C52" t="s">
        <v>102</v>
      </c>
      <c r="D52" s="2">
        <v>1488900000000</v>
      </c>
      <c r="E52" t="s">
        <v>103</v>
      </c>
      <c r="F52" s="2">
        <v>1618860000000</v>
      </c>
      <c r="G52" t="s">
        <v>20</v>
      </c>
      <c r="H52" s="3">
        <v>599330</v>
      </c>
      <c r="I52" s="3">
        <v>2403336</v>
      </c>
      <c r="J52" s="3">
        <v>1038069</v>
      </c>
      <c r="K52" s="3">
        <v>0</v>
      </c>
      <c r="L52" s="3">
        <v>492</v>
      </c>
      <c r="M52" s="3">
        <v>480646</v>
      </c>
      <c r="N52" s="3">
        <v>22729</v>
      </c>
      <c r="O52" s="3">
        <v>137419</v>
      </c>
      <c r="P52" s="3">
        <v>3419583</v>
      </c>
      <c r="Q52" s="3">
        <f t="shared" si="1"/>
        <v>8101604</v>
      </c>
    </row>
    <row r="53" spans="1:17" x14ac:dyDescent="0.2">
      <c r="A53" t="s">
        <v>159</v>
      </c>
      <c r="B53" t="s">
        <v>160</v>
      </c>
      <c r="C53" t="s">
        <v>161</v>
      </c>
      <c r="D53" s="2">
        <v>1498510000000</v>
      </c>
      <c r="E53" t="s">
        <v>162</v>
      </c>
      <c r="F53" s="2">
        <v>1619810000000</v>
      </c>
      <c r="G53" t="s">
        <v>59</v>
      </c>
      <c r="H53" s="3">
        <v>597493</v>
      </c>
      <c r="I53" s="3">
        <v>7871724</v>
      </c>
      <c r="J53" s="3">
        <v>2956228</v>
      </c>
      <c r="K53" s="3">
        <v>0</v>
      </c>
      <c r="L53" s="3">
        <v>233533</v>
      </c>
      <c r="M53" s="3">
        <v>2586412</v>
      </c>
      <c r="N53" s="3">
        <v>23855</v>
      </c>
      <c r="O53" s="3">
        <v>2134861</v>
      </c>
      <c r="P53" s="3">
        <v>7149514</v>
      </c>
      <c r="Q53" s="3">
        <f t="shared" si="1"/>
        <v>23553620</v>
      </c>
    </row>
    <row r="54" spans="1:17" x14ac:dyDescent="0.2">
      <c r="A54" t="s">
        <v>107</v>
      </c>
      <c r="B54" t="s">
        <v>108</v>
      </c>
      <c r="C54" t="s">
        <v>109</v>
      </c>
      <c r="D54" s="2">
        <v>1498770000000</v>
      </c>
      <c r="E54" t="s">
        <v>110</v>
      </c>
      <c r="F54" s="2">
        <v>1619620000000</v>
      </c>
      <c r="G54" t="s">
        <v>35</v>
      </c>
      <c r="H54" s="3">
        <v>538091</v>
      </c>
      <c r="I54" s="3">
        <v>5650870</v>
      </c>
      <c r="J54" s="3">
        <v>2594331</v>
      </c>
      <c r="K54" s="3">
        <v>0</v>
      </c>
      <c r="L54" s="3">
        <v>163465</v>
      </c>
      <c r="M54" s="3">
        <v>2949009</v>
      </c>
      <c r="N54" s="3">
        <v>1388</v>
      </c>
      <c r="O54" s="3">
        <v>2291493</v>
      </c>
      <c r="P54" s="3">
        <v>7464426</v>
      </c>
      <c r="Q54" s="3">
        <f t="shared" si="1"/>
        <v>21653073</v>
      </c>
    </row>
    <row r="55" spans="1:17" x14ac:dyDescent="0.2">
      <c r="A55" t="s">
        <v>770</v>
      </c>
      <c r="B55" t="s">
        <v>771</v>
      </c>
      <c r="C55" t="s">
        <v>772</v>
      </c>
      <c r="D55" s="2">
        <v>1570030000000</v>
      </c>
      <c r="E55" t="s">
        <v>773</v>
      </c>
      <c r="F55" s="2">
        <v>1619040000000</v>
      </c>
      <c r="G55" t="s">
        <v>94</v>
      </c>
      <c r="H55" s="3">
        <v>524560</v>
      </c>
      <c r="I55" s="3">
        <v>1479508</v>
      </c>
      <c r="J55" s="3">
        <v>106736</v>
      </c>
      <c r="K55" s="3">
        <v>0</v>
      </c>
      <c r="L55" s="3">
        <v>0</v>
      </c>
      <c r="M55" s="3">
        <v>0</v>
      </c>
      <c r="N55" s="3">
        <v>330</v>
      </c>
      <c r="O55" s="3">
        <v>91860</v>
      </c>
      <c r="P55" s="3">
        <v>1935056</v>
      </c>
      <c r="Q55" s="3">
        <f t="shared" si="1"/>
        <v>4138050</v>
      </c>
    </row>
    <row r="56" spans="1:17" x14ac:dyDescent="0.2">
      <c r="A56" t="s">
        <v>266</v>
      </c>
      <c r="B56" t="s">
        <v>267</v>
      </c>
      <c r="C56" t="s">
        <v>268</v>
      </c>
      <c r="D56" s="2">
        <v>1366670000000</v>
      </c>
      <c r="E56" t="s">
        <v>269</v>
      </c>
      <c r="F56" s="2">
        <v>1619810000000</v>
      </c>
      <c r="G56" t="s">
        <v>68</v>
      </c>
      <c r="H56" s="3">
        <v>520504</v>
      </c>
      <c r="I56" s="3">
        <v>1375543</v>
      </c>
      <c r="J56" s="3">
        <v>263751</v>
      </c>
      <c r="K56" s="3">
        <v>0</v>
      </c>
      <c r="L56" s="3">
        <v>606</v>
      </c>
      <c r="M56" s="3">
        <v>676967</v>
      </c>
      <c r="N56" s="3">
        <v>50552</v>
      </c>
      <c r="O56" s="3">
        <v>24596</v>
      </c>
      <c r="P56" s="3">
        <v>1375698</v>
      </c>
      <c r="Q56" s="3">
        <f t="shared" si="1"/>
        <v>4288217</v>
      </c>
    </row>
    <row r="57" spans="1:17" x14ac:dyDescent="0.2">
      <c r="A57" t="s">
        <v>227</v>
      </c>
      <c r="B57" t="s">
        <v>228</v>
      </c>
      <c r="C57" t="s">
        <v>229</v>
      </c>
      <c r="D57" s="2">
        <v>1436390000000</v>
      </c>
      <c r="E57" t="s">
        <v>230</v>
      </c>
      <c r="F57" s="2">
        <v>1619820000000</v>
      </c>
      <c r="G57" t="s">
        <v>68</v>
      </c>
      <c r="H57" s="3">
        <v>503881</v>
      </c>
      <c r="I57" s="3">
        <v>7044147</v>
      </c>
      <c r="J57" s="3">
        <v>3103403</v>
      </c>
      <c r="K57" s="3">
        <v>0</v>
      </c>
      <c r="L57" s="3">
        <v>24789</v>
      </c>
      <c r="M57" s="3">
        <v>5253450</v>
      </c>
      <c r="N57" s="3">
        <v>219230</v>
      </c>
      <c r="O57" s="3">
        <v>2333743</v>
      </c>
      <c r="P57" s="3">
        <v>19074364</v>
      </c>
      <c r="Q57" s="3">
        <f t="shared" si="1"/>
        <v>37557007</v>
      </c>
    </row>
    <row r="58" spans="1:17" x14ac:dyDescent="0.2">
      <c r="A58" t="s">
        <v>600</v>
      </c>
      <c r="B58" t="s">
        <v>601</v>
      </c>
      <c r="C58" t="s">
        <v>602</v>
      </c>
      <c r="D58" s="2">
        <v>1538500000000</v>
      </c>
      <c r="E58" t="s">
        <v>603</v>
      </c>
      <c r="F58" s="2">
        <v>1617370000000</v>
      </c>
      <c r="G58" t="s">
        <v>257</v>
      </c>
      <c r="H58" s="3">
        <v>494840</v>
      </c>
      <c r="I58" s="3">
        <v>4803436</v>
      </c>
      <c r="J58" s="3">
        <v>34951</v>
      </c>
      <c r="K58" s="3">
        <v>0</v>
      </c>
      <c r="L58" s="3">
        <v>0</v>
      </c>
      <c r="M58" s="3">
        <v>0</v>
      </c>
      <c r="N58" s="3">
        <v>710</v>
      </c>
      <c r="O58" s="3">
        <v>0</v>
      </c>
      <c r="P58" s="3">
        <v>5040985</v>
      </c>
      <c r="Q58" s="3">
        <f t="shared" si="1"/>
        <v>10374922</v>
      </c>
    </row>
    <row r="59" spans="1:17" x14ac:dyDescent="0.2">
      <c r="A59" t="s">
        <v>490</v>
      </c>
      <c r="B59" t="s">
        <v>491</v>
      </c>
      <c r="C59" t="s">
        <v>492</v>
      </c>
      <c r="D59" s="2">
        <v>1442940000000</v>
      </c>
      <c r="E59" t="s">
        <v>493</v>
      </c>
      <c r="F59" s="2">
        <v>1619710000000</v>
      </c>
      <c r="G59" t="s">
        <v>68</v>
      </c>
      <c r="H59" s="3">
        <v>467125</v>
      </c>
      <c r="I59" s="3">
        <v>886825</v>
      </c>
      <c r="J59" s="3">
        <v>574809</v>
      </c>
      <c r="K59" s="3">
        <v>0</v>
      </c>
      <c r="L59" s="3">
        <v>3175</v>
      </c>
      <c r="M59" s="3">
        <v>1611063</v>
      </c>
      <c r="N59" s="3">
        <v>71665</v>
      </c>
      <c r="O59" s="3">
        <v>130406</v>
      </c>
      <c r="P59" s="3">
        <v>886974</v>
      </c>
      <c r="Q59" s="3">
        <f t="shared" si="1"/>
        <v>4632042</v>
      </c>
    </row>
    <row r="60" spans="1:17" x14ac:dyDescent="0.2">
      <c r="A60" t="s">
        <v>190</v>
      </c>
      <c r="B60" t="s">
        <v>191</v>
      </c>
      <c r="C60" t="s">
        <v>192</v>
      </c>
      <c r="D60" s="2">
        <v>1366200000000</v>
      </c>
      <c r="E60" t="s">
        <v>193</v>
      </c>
      <c r="F60" s="2">
        <v>1611720000000</v>
      </c>
      <c r="G60" t="s">
        <v>20</v>
      </c>
      <c r="H60" s="3">
        <v>425272</v>
      </c>
      <c r="I60" s="3">
        <v>4958921</v>
      </c>
      <c r="J60" s="3">
        <v>1302807</v>
      </c>
      <c r="K60" s="3">
        <v>0</v>
      </c>
      <c r="L60" s="3">
        <v>668</v>
      </c>
      <c r="M60" s="3">
        <v>4404722</v>
      </c>
      <c r="N60" s="3">
        <v>67664</v>
      </c>
      <c r="O60" s="3">
        <v>97816</v>
      </c>
      <c r="P60" s="3">
        <v>5364721</v>
      </c>
      <c r="Q60" s="3">
        <f t="shared" si="1"/>
        <v>16622591</v>
      </c>
    </row>
    <row r="61" spans="1:17" x14ac:dyDescent="0.2">
      <c r="A61" t="s">
        <v>69</v>
      </c>
      <c r="B61" t="s">
        <v>70</v>
      </c>
      <c r="C61" t="s">
        <v>71</v>
      </c>
      <c r="D61" s="2">
        <v>1430260000000</v>
      </c>
      <c r="E61" t="s">
        <v>72</v>
      </c>
      <c r="F61" s="2">
        <v>1617950000000</v>
      </c>
      <c r="G61" t="s">
        <v>59</v>
      </c>
      <c r="H61" s="3">
        <v>403771</v>
      </c>
      <c r="I61" s="3">
        <v>5311006</v>
      </c>
      <c r="J61" s="3">
        <v>272638</v>
      </c>
      <c r="K61" s="3">
        <v>0</v>
      </c>
      <c r="L61" s="3">
        <v>0</v>
      </c>
      <c r="M61" s="3">
        <v>0</v>
      </c>
      <c r="N61" s="3">
        <v>977</v>
      </c>
      <c r="O61" s="3">
        <v>2407</v>
      </c>
      <c r="P61" s="3">
        <v>5558382</v>
      </c>
      <c r="Q61" s="3">
        <f t="shared" si="1"/>
        <v>11549181</v>
      </c>
    </row>
    <row r="62" spans="1:17" x14ac:dyDescent="0.2">
      <c r="A62" t="s">
        <v>417</v>
      </c>
      <c r="B62" t="s">
        <v>418</v>
      </c>
      <c r="C62" t="s">
        <v>419</v>
      </c>
      <c r="D62" s="2">
        <v>1490900000000</v>
      </c>
      <c r="E62" t="s">
        <v>420</v>
      </c>
      <c r="F62" s="2">
        <v>1619730000000</v>
      </c>
      <c r="G62" t="s">
        <v>20</v>
      </c>
      <c r="H62" s="3">
        <v>359737</v>
      </c>
      <c r="I62" s="3">
        <v>4781745</v>
      </c>
      <c r="J62" s="3">
        <v>213191</v>
      </c>
      <c r="K62" s="3">
        <v>0</v>
      </c>
      <c r="L62" s="3">
        <v>197</v>
      </c>
      <c r="M62" s="3">
        <v>170520</v>
      </c>
      <c r="N62" s="3">
        <v>11068</v>
      </c>
      <c r="O62" s="3">
        <v>15331</v>
      </c>
      <c r="P62" s="3">
        <v>5080424</v>
      </c>
      <c r="Q62" s="3">
        <f t="shared" si="1"/>
        <v>10632213</v>
      </c>
    </row>
    <row r="63" spans="1:17" x14ac:dyDescent="0.2">
      <c r="A63" t="s">
        <v>758</v>
      </c>
      <c r="B63" t="s">
        <v>759</v>
      </c>
      <c r="C63" t="s">
        <v>760</v>
      </c>
      <c r="D63" s="2">
        <v>1554400000000</v>
      </c>
      <c r="E63" t="s">
        <v>761</v>
      </c>
      <c r="F63" s="2">
        <v>1619720000000</v>
      </c>
      <c r="G63" t="s">
        <v>257</v>
      </c>
      <c r="H63" s="3">
        <v>351647</v>
      </c>
      <c r="I63" s="3">
        <v>953455</v>
      </c>
      <c r="J63" s="3">
        <v>317344</v>
      </c>
      <c r="K63" s="3">
        <v>0</v>
      </c>
      <c r="L63" s="3">
        <v>0</v>
      </c>
      <c r="M63" s="3">
        <v>13</v>
      </c>
      <c r="N63" s="3">
        <v>1786</v>
      </c>
      <c r="O63" s="3">
        <v>8</v>
      </c>
      <c r="P63" s="3">
        <v>1501083</v>
      </c>
      <c r="Q63" s="3">
        <f t="shared" si="1"/>
        <v>3125336</v>
      </c>
    </row>
    <row r="64" spans="1:17" x14ac:dyDescent="0.2">
      <c r="A64" t="s">
        <v>524</v>
      </c>
      <c r="B64" t="s">
        <v>525</v>
      </c>
      <c r="C64" t="s">
        <v>526</v>
      </c>
      <c r="D64" s="2">
        <v>1498680000000</v>
      </c>
      <c r="E64" t="s">
        <v>58</v>
      </c>
      <c r="F64" s="2">
        <v>1611720000000</v>
      </c>
      <c r="G64" t="s">
        <v>519</v>
      </c>
      <c r="H64" s="3">
        <v>342528</v>
      </c>
      <c r="I64" s="3">
        <v>763473</v>
      </c>
      <c r="J64" s="3">
        <v>4996</v>
      </c>
      <c r="K64" s="3">
        <v>0</v>
      </c>
      <c r="L64" s="3">
        <v>11</v>
      </c>
      <c r="M64" s="3">
        <v>12331</v>
      </c>
      <c r="N64" s="3">
        <v>1670</v>
      </c>
      <c r="O64" s="3">
        <v>5236</v>
      </c>
      <c r="P64" s="3">
        <v>1879369</v>
      </c>
      <c r="Q64" s="3">
        <f t="shared" si="1"/>
        <v>3009614</v>
      </c>
    </row>
    <row r="65" spans="1:17" x14ac:dyDescent="0.2">
      <c r="A65" t="s">
        <v>186</v>
      </c>
      <c r="B65" t="s">
        <v>187</v>
      </c>
      <c r="C65" t="s">
        <v>188</v>
      </c>
      <c r="D65" s="2">
        <v>1434410000000</v>
      </c>
      <c r="E65" t="s">
        <v>189</v>
      </c>
      <c r="F65" s="2">
        <v>1618500000000</v>
      </c>
      <c r="G65" t="s">
        <v>59</v>
      </c>
      <c r="H65" s="3">
        <v>310629</v>
      </c>
      <c r="I65" s="3">
        <v>549503</v>
      </c>
      <c r="J65" s="3">
        <v>363100</v>
      </c>
      <c r="K65" s="3">
        <v>0</v>
      </c>
      <c r="L65" s="3">
        <v>475</v>
      </c>
      <c r="M65" s="3">
        <v>650110</v>
      </c>
      <c r="N65" s="3">
        <v>21146</v>
      </c>
      <c r="O65" s="3">
        <v>46264</v>
      </c>
      <c r="P65" s="3">
        <v>817064</v>
      </c>
      <c r="Q65" s="3">
        <f t="shared" si="1"/>
        <v>2758291</v>
      </c>
    </row>
    <row r="66" spans="1:17" x14ac:dyDescent="0.2">
      <c r="A66" t="s">
        <v>239</v>
      </c>
      <c r="B66" t="s">
        <v>240</v>
      </c>
      <c r="C66" t="s">
        <v>241</v>
      </c>
      <c r="D66" s="2">
        <v>1508800000000</v>
      </c>
      <c r="E66" t="s">
        <v>242</v>
      </c>
      <c r="F66" s="2">
        <v>1616170000000</v>
      </c>
      <c r="G66" t="s">
        <v>35</v>
      </c>
      <c r="H66" s="3">
        <v>305244</v>
      </c>
      <c r="I66" s="3">
        <v>1428506</v>
      </c>
      <c r="J66" s="3">
        <v>192393</v>
      </c>
      <c r="K66" s="3">
        <v>0</v>
      </c>
      <c r="L66" s="3">
        <v>0</v>
      </c>
      <c r="M66" s="3">
        <v>0</v>
      </c>
      <c r="N66" s="3">
        <v>6384</v>
      </c>
      <c r="O66" s="3">
        <v>3949</v>
      </c>
      <c r="P66" s="3">
        <v>1878569</v>
      </c>
      <c r="Q66" s="3">
        <f t="shared" ref="Q66:Q97" si="2">SUM(H66:P66)</f>
        <v>3815045</v>
      </c>
    </row>
    <row r="67" spans="1:17" x14ac:dyDescent="0.2">
      <c r="A67" t="s">
        <v>482</v>
      </c>
      <c r="B67" t="s">
        <v>483</v>
      </c>
      <c r="C67" t="s">
        <v>484</v>
      </c>
      <c r="D67" s="2">
        <v>1474950000000</v>
      </c>
      <c r="E67" t="s">
        <v>485</v>
      </c>
      <c r="F67" s="2">
        <v>1615570000000</v>
      </c>
      <c r="G67" t="s">
        <v>35</v>
      </c>
      <c r="H67" s="3">
        <v>300181</v>
      </c>
      <c r="I67" s="3">
        <v>1466817</v>
      </c>
      <c r="J67" s="3">
        <v>250336</v>
      </c>
      <c r="K67" s="3">
        <v>0</v>
      </c>
      <c r="L67" s="3">
        <v>0</v>
      </c>
      <c r="M67" s="3">
        <v>0</v>
      </c>
      <c r="N67" s="3">
        <v>6827</v>
      </c>
      <c r="O67" s="3">
        <v>66675</v>
      </c>
      <c r="P67" s="3">
        <v>1874479</v>
      </c>
      <c r="Q67" s="3">
        <f t="shared" si="2"/>
        <v>3965315</v>
      </c>
    </row>
    <row r="68" spans="1:17" x14ac:dyDescent="0.2">
      <c r="A68" t="s">
        <v>794</v>
      </c>
      <c r="B68" t="s">
        <v>795</v>
      </c>
      <c r="C68" t="s">
        <v>796</v>
      </c>
      <c r="D68" s="2">
        <v>1550810000000</v>
      </c>
      <c r="E68" t="s">
        <v>797</v>
      </c>
      <c r="F68" s="2">
        <v>1611720000000</v>
      </c>
      <c r="G68" t="s">
        <v>798</v>
      </c>
      <c r="H68" s="3">
        <v>297204</v>
      </c>
      <c r="I68" s="3">
        <v>661741</v>
      </c>
      <c r="J68" s="3">
        <v>716744</v>
      </c>
      <c r="K68" s="3">
        <v>0</v>
      </c>
      <c r="L68" s="3">
        <v>8229</v>
      </c>
      <c r="M68" s="3">
        <v>1368678</v>
      </c>
      <c r="N68" s="3">
        <v>72472</v>
      </c>
      <c r="O68" s="3">
        <v>46472</v>
      </c>
      <c r="P68" s="3">
        <v>662362</v>
      </c>
      <c r="Q68" s="3">
        <f t="shared" si="2"/>
        <v>3833902</v>
      </c>
    </row>
    <row r="69" spans="1:17" x14ac:dyDescent="0.2">
      <c r="A69" t="s">
        <v>123</v>
      </c>
      <c r="B69" t="s">
        <v>124</v>
      </c>
      <c r="C69" t="s">
        <v>125</v>
      </c>
      <c r="D69" s="2">
        <v>1391470000000</v>
      </c>
      <c r="E69" t="s">
        <v>126</v>
      </c>
      <c r="F69" s="2">
        <v>1613750000000</v>
      </c>
      <c r="G69" t="s">
        <v>25</v>
      </c>
      <c r="H69" s="3">
        <v>282012</v>
      </c>
      <c r="I69" s="3">
        <v>492873</v>
      </c>
      <c r="J69" s="3">
        <v>66121</v>
      </c>
      <c r="K69" s="3">
        <v>0</v>
      </c>
      <c r="L69" s="3">
        <v>26</v>
      </c>
      <c r="M69" s="3">
        <v>189604</v>
      </c>
      <c r="N69" s="3">
        <v>12719</v>
      </c>
      <c r="O69" s="3">
        <v>4474</v>
      </c>
      <c r="P69" s="3">
        <v>549750</v>
      </c>
      <c r="Q69" s="3">
        <f t="shared" si="2"/>
        <v>1597579</v>
      </c>
    </row>
    <row r="70" spans="1:17" x14ac:dyDescent="0.2">
      <c r="A70" t="s">
        <v>55</v>
      </c>
      <c r="B70" t="s">
        <v>56</v>
      </c>
      <c r="C70" t="s">
        <v>57</v>
      </c>
      <c r="D70" s="2">
        <v>1448390000000</v>
      </c>
      <c r="E70" t="s">
        <v>58</v>
      </c>
      <c r="F70" s="2">
        <v>1611720000000</v>
      </c>
      <c r="G70" t="s">
        <v>59</v>
      </c>
      <c r="H70" s="3">
        <v>266320</v>
      </c>
      <c r="I70" s="3">
        <v>1862543</v>
      </c>
      <c r="J70" s="3">
        <v>191676</v>
      </c>
      <c r="K70" s="3">
        <v>0</v>
      </c>
      <c r="L70" s="3">
        <v>0</v>
      </c>
      <c r="M70" s="3">
        <v>0</v>
      </c>
      <c r="N70" s="3">
        <v>918</v>
      </c>
      <c r="O70" s="3">
        <v>3986</v>
      </c>
      <c r="P70" s="3">
        <v>2204577</v>
      </c>
      <c r="Q70" s="3">
        <f t="shared" si="2"/>
        <v>4530020</v>
      </c>
    </row>
    <row r="71" spans="1:17" x14ac:dyDescent="0.2">
      <c r="A71" t="s">
        <v>374</v>
      </c>
      <c r="B71" t="s">
        <v>375</v>
      </c>
      <c r="C71" t="s">
        <v>376</v>
      </c>
      <c r="D71" s="2">
        <v>1502170000000</v>
      </c>
      <c r="E71" t="s">
        <v>377</v>
      </c>
      <c r="F71" s="2">
        <v>1612820000000</v>
      </c>
      <c r="G71" t="s">
        <v>378</v>
      </c>
      <c r="H71" s="3">
        <v>266036</v>
      </c>
      <c r="I71" s="3">
        <v>6660664</v>
      </c>
      <c r="J71" s="3">
        <v>1485369</v>
      </c>
      <c r="K71" s="3">
        <v>0</v>
      </c>
      <c r="L71" s="3">
        <v>27914</v>
      </c>
      <c r="M71" s="3">
        <v>2636805</v>
      </c>
      <c r="N71" s="3">
        <v>1496</v>
      </c>
      <c r="O71" s="3">
        <v>137184</v>
      </c>
      <c r="P71" s="3">
        <v>7002598</v>
      </c>
      <c r="Q71" s="3">
        <f t="shared" si="2"/>
        <v>18218066</v>
      </c>
    </row>
    <row r="72" spans="1:17" x14ac:dyDescent="0.2">
      <c r="A72" t="s">
        <v>608</v>
      </c>
      <c r="B72" t="s">
        <v>609</v>
      </c>
      <c r="C72" t="s">
        <v>610</v>
      </c>
      <c r="D72" s="2">
        <v>1543440000000</v>
      </c>
      <c r="E72" t="s">
        <v>611</v>
      </c>
      <c r="F72" s="2">
        <v>1619620000000</v>
      </c>
      <c r="G72" t="s">
        <v>257</v>
      </c>
      <c r="H72" s="3">
        <v>259880</v>
      </c>
      <c r="I72" s="3">
        <v>1183743</v>
      </c>
      <c r="J72" s="3">
        <v>313292</v>
      </c>
      <c r="K72" s="3">
        <v>0</v>
      </c>
      <c r="L72" s="3">
        <v>0</v>
      </c>
      <c r="M72" s="3">
        <v>0</v>
      </c>
      <c r="N72" s="3">
        <v>449</v>
      </c>
      <c r="O72" s="3">
        <v>0</v>
      </c>
      <c r="P72" s="3">
        <v>1749911</v>
      </c>
      <c r="Q72" s="3">
        <f t="shared" si="2"/>
        <v>3507275</v>
      </c>
    </row>
    <row r="73" spans="1:17" x14ac:dyDescent="0.2">
      <c r="A73" t="s">
        <v>253</v>
      </c>
      <c r="B73" t="s">
        <v>254</v>
      </c>
      <c r="C73" t="s">
        <v>255</v>
      </c>
      <c r="D73" s="2">
        <v>1528990000000</v>
      </c>
      <c r="E73" t="s">
        <v>256</v>
      </c>
      <c r="F73" s="2">
        <v>1618550000000</v>
      </c>
      <c r="G73" t="s">
        <v>257</v>
      </c>
      <c r="H73" s="3">
        <v>247635</v>
      </c>
      <c r="I73" s="3">
        <v>583236</v>
      </c>
      <c r="J73" s="3">
        <v>248064</v>
      </c>
      <c r="K73" s="3">
        <v>0</v>
      </c>
      <c r="L73" s="3">
        <v>0</v>
      </c>
      <c r="M73" s="3">
        <v>40</v>
      </c>
      <c r="N73" s="3">
        <v>1932</v>
      </c>
      <c r="O73" s="3">
        <v>7</v>
      </c>
      <c r="P73" s="3">
        <v>863393</v>
      </c>
      <c r="Q73" s="3">
        <f t="shared" si="2"/>
        <v>1944307</v>
      </c>
    </row>
    <row r="74" spans="1:17" x14ac:dyDescent="0.2">
      <c r="A74" t="s">
        <v>586</v>
      </c>
      <c r="B74" t="s">
        <v>587</v>
      </c>
      <c r="C74" t="s">
        <v>588</v>
      </c>
      <c r="D74" s="2">
        <v>1544630000000</v>
      </c>
      <c r="E74" t="s">
        <v>589</v>
      </c>
      <c r="F74" s="2">
        <v>1619820000000</v>
      </c>
      <c r="G74" t="s">
        <v>590</v>
      </c>
      <c r="H74" s="3">
        <v>239814</v>
      </c>
      <c r="I74" s="3">
        <v>990202</v>
      </c>
      <c r="J74" s="3">
        <v>1258</v>
      </c>
      <c r="K74" s="3">
        <v>0</v>
      </c>
      <c r="L74" s="3">
        <v>6</v>
      </c>
      <c r="M74" s="3">
        <v>1825</v>
      </c>
      <c r="N74" s="3">
        <v>472</v>
      </c>
      <c r="O74" s="3">
        <v>838</v>
      </c>
      <c r="P74" s="3">
        <v>1060986</v>
      </c>
      <c r="Q74" s="3">
        <f t="shared" si="2"/>
        <v>2295401</v>
      </c>
    </row>
    <row r="75" spans="1:17" x14ac:dyDescent="0.2">
      <c r="A75" t="s">
        <v>384</v>
      </c>
      <c r="B75" t="s">
        <v>385</v>
      </c>
      <c r="C75" t="s">
        <v>386</v>
      </c>
      <c r="D75" s="2">
        <v>1533050000000</v>
      </c>
      <c r="E75" t="s">
        <v>387</v>
      </c>
      <c r="F75" s="2">
        <v>1619010000000</v>
      </c>
      <c r="G75" t="s">
        <v>257</v>
      </c>
      <c r="H75" s="3">
        <v>239530</v>
      </c>
      <c r="I75" s="3">
        <v>1004778</v>
      </c>
      <c r="J75" s="3">
        <v>31226</v>
      </c>
      <c r="K75" s="3">
        <v>0</v>
      </c>
      <c r="L75" s="3">
        <v>0</v>
      </c>
      <c r="M75" s="3">
        <v>0</v>
      </c>
      <c r="N75" s="3">
        <v>555</v>
      </c>
      <c r="O75" s="3">
        <v>0</v>
      </c>
      <c r="P75" s="3">
        <v>1152314</v>
      </c>
      <c r="Q75" s="3">
        <f t="shared" si="2"/>
        <v>2428403</v>
      </c>
    </row>
    <row r="76" spans="1:17" x14ac:dyDescent="0.2">
      <c r="A76" t="s">
        <v>168</v>
      </c>
      <c r="B76" t="s">
        <v>169</v>
      </c>
      <c r="C76" t="s">
        <v>170</v>
      </c>
      <c r="D76" s="2">
        <v>1528310000000</v>
      </c>
      <c r="E76" t="s">
        <v>171</v>
      </c>
      <c r="F76" s="2">
        <v>1619110000000</v>
      </c>
      <c r="G76" t="s">
        <v>172</v>
      </c>
      <c r="H76" s="3">
        <v>222716</v>
      </c>
      <c r="I76" s="3">
        <v>1427569</v>
      </c>
      <c r="J76" s="3">
        <v>1196939</v>
      </c>
      <c r="K76" s="3">
        <v>0</v>
      </c>
      <c r="L76" s="3">
        <v>20459</v>
      </c>
      <c r="M76" s="3">
        <v>1902676</v>
      </c>
      <c r="N76" s="3">
        <v>881941</v>
      </c>
      <c r="O76" s="3">
        <v>316549</v>
      </c>
      <c r="P76" s="3">
        <v>313853</v>
      </c>
      <c r="Q76" s="3">
        <f t="shared" si="2"/>
        <v>6282702</v>
      </c>
    </row>
    <row r="77" spans="1:17" x14ac:dyDescent="0.2">
      <c r="A77" t="s">
        <v>647</v>
      </c>
      <c r="B77" t="s">
        <v>648</v>
      </c>
      <c r="C77" t="s">
        <v>649</v>
      </c>
      <c r="D77" s="2">
        <v>1579210000000</v>
      </c>
      <c r="E77" t="s">
        <v>650</v>
      </c>
      <c r="F77" s="2">
        <v>1619710000000</v>
      </c>
      <c r="G77" t="s">
        <v>94</v>
      </c>
      <c r="H77" s="3">
        <v>214246</v>
      </c>
      <c r="I77" s="3">
        <v>738227</v>
      </c>
      <c r="J77" s="3">
        <v>81474</v>
      </c>
      <c r="K77" s="3">
        <v>0</v>
      </c>
      <c r="L77" s="3">
        <v>0</v>
      </c>
      <c r="M77" s="3">
        <v>0</v>
      </c>
      <c r="N77" s="3">
        <v>375</v>
      </c>
      <c r="O77" s="3">
        <v>0</v>
      </c>
      <c r="P77" s="3">
        <v>1121907</v>
      </c>
      <c r="Q77" s="3">
        <f t="shared" si="2"/>
        <v>2156229</v>
      </c>
    </row>
    <row r="78" spans="1:17" x14ac:dyDescent="0.2">
      <c r="A78" t="s">
        <v>803</v>
      </c>
      <c r="B78" t="s">
        <v>804</v>
      </c>
      <c r="C78" t="s">
        <v>805</v>
      </c>
      <c r="D78" s="2">
        <v>1556800000000</v>
      </c>
      <c r="E78" t="s">
        <v>806</v>
      </c>
      <c r="F78" s="2">
        <v>1617720000000</v>
      </c>
      <c r="G78" t="s">
        <v>807</v>
      </c>
      <c r="H78" s="3">
        <v>204997</v>
      </c>
      <c r="I78" s="3">
        <v>919853</v>
      </c>
      <c r="J78" s="3">
        <v>361606</v>
      </c>
      <c r="K78" s="3">
        <v>0</v>
      </c>
      <c r="L78" s="3">
        <v>7928</v>
      </c>
      <c r="M78" s="3">
        <v>564423</v>
      </c>
      <c r="N78" s="3">
        <v>335211</v>
      </c>
      <c r="O78" s="3">
        <v>173738</v>
      </c>
      <c r="P78" s="3">
        <v>879435</v>
      </c>
      <c r="Q78" s="3">
        <f t="shared" si="2"/>
        <v>3447191</v>
      </c>
    </row>
    <row r="79" spans="1:17" x14ac:dyDescent="0.2">
      <c r="A79" t="s">
        <v>85</v>
      </c>
      <c r="B79" t="s">
        <v>86</v>
      </c>
      <c r="C79" t="s">
        <v>87</v>
      </c>
      <c r="D79" s="2">
        <v>1436380000000</v>
      </c>
      <c r="E79" t="s">
        <v>88</v>
      </c>
      <c r="F79" s="2">
        <v>1611720000000</v>
      </c>
      <c r="G79" t="s">
        <v>89</v>
      </c>
      <c r="H79" s="3">
        <v>204910</v>
      </c>
      <c r="I79" s="3">
        <v>537332</v>
      </c>
      <c r="J79" s="3">
        <v>456731</v>
      </c>
      <c r="K79" s="3">
        <v>0</v>
      </c>
      <c r="L79" s="3">
        <v>747</v>
      </c>
      <c r="M79" s="3">
        <v>1318883</v>
      </c>
      <c r="N79" s="3">
        <v>39866</v>
      </c>
      <c r="O79" s="3">
        <v>144143</v>
      </c>
      <c r="P79" s="3">
        <v>538509</v>
      </c>
      <c r="Q79" s="3">
        <f t="shared" si="2"/>
        <v>3241121</v>
      </c>
    </row>
    <row r="80" spans="1:17" x14ac:dyDescent="0.2">
      <c r="A80" t="s">
        <v>31</v>
      </c>
      <c r="B80" t="s">
        <v>32</v>
      </c>
      <c r="C80" t="s">
        <v>33</v>
      </c>
      <c r="D80" s="2">
        <v>1458570000000</v>
      </c>
      <c r="E80" t="s">
        <v>34</v>
      </c>
      <c r="F80" s="2">
        <v>1616180000000</v>
      </c>
      <c r="G80" t="s">
        <v>35</v>
      </c>
      <c r="H80" s="3">
        <v>202385</v>
      </c>
      <c r="I80" s="3">
        <v>579366</v>
      </c>
      <c r="J80" s="3">
        <v>19180</v>
      </c>
      <c r="K80" s="3">
        <v>0</v>
      </c>
      <c r="L80" s="3">
        <v>0</v>
      </c>
      <c r="M80" s="3">
        <v>0</v>
      </c>
      <c r="N80" s="3">
        <v>616</v>
      </c>
      <c r="O80" s="3">
        <v>677</v>
      </c>
      <c r="P80" s="3">
        <v>676140</v>
      </c>
      <c r="Q80" s="3">
        <f t="shared" si="2"/>
        <v>1478364</v>
      </c>
    </row>
    <row r="81" spans="1:17" x14ac:dyDescent="0.2">
      <c r="A81" t="s">
        <v>808</v>
      </c>
      <c r="B81" t="s">
        <v>809</v>
      </c>
      <c r="C81" t="s">
        <v>810</v>
      </c>
      <c r="D81" s="2">
        <v>1575580000000</v>
      </c>
      <c r="E81" t="s">
        <v>811</v>
      </c>
      <c r="F81" s="2">
        <v>1619810000000</v>
      </c>
      <c r="G81" t="s">
        <v>59</v>
      </c>
      <c r="H81" s="3">
        <v>200369</v>
      </c>
      <c r="I81" s="3">
        <v>652755</v>
      </c>
      <c r="J81" s="3">
        <v>35739</v>
      </c>
      <c r="K81" s="3">
        <v>0</v>
      </c>
      <c r="L81" s="3">
        <v>0</v>
      </c>
      <c r="M81" s="3">
        <v>0</v>
      </c>
      <c r="N81" s="3">
        <v>469</v>
      </c>
      <c r="O81" s="3">
        <v>0</v>
      </c>
      <c r="P81" s="3">
        <v>983010</v>
      </c>
      <c r="Q81" s="3">
        <f t="shared" si="2"/>
        <v>1872342</v>
      </c>
    </row>
    <row r="82" spans="1:17" x14ac:dyDescent="0.2">
      <c r="A82" t="s">
        <v>532</v>
      </c>
      <c r="B82" t="s">
        <v>533</v>
      </c>
      <c r="C82" t="s">
        <v>534</v>
      </c>
      <c r="D82" s="2">
        <v>1518740000000</v>
      </c>
      <c r="E82" t="s">
        <v>535</v>
      </c>
      <c r="F82" s="2">
        <v>1608040000000</v>
      </c>
      <c r="G82" t="s">
        <v>536</v>
      </c>
      <c r="H82" s="3">
        <v>192960</v>
      </c>
      <c r="I82" s="3">
        <v>614523</v>
      </c>
      <c r="J82" s="3">
        <v>342432</v>
      </c>
      <c r="K82" s="3">
        <v>0</v>
      </c>
      <c r="L82" s="3">
        <v>277</v>
      </c>
      <c r="M82" s="3">
        <v>2278421</v>
      </c>
      <c r="N82" s="3">
        <v>26384</v>
      </c>
      <c r="O82" s="3">
        <v>0</v>
      </c>
      <c r="P82" s="3">
        <v>618869</v>
      </c>
      <c r="Q82" s="3">
        <f t="shared" si="2"/>
        <v>4073866</v>
      </c>
    </row>
    <row r="83" spans="1:17" x14ac:dyDescent="0.2">
      <c r="A83" t="s">
        <v>750</v>
      </c>
      <c r="B83" t="s">
        <v>751</v>
      </c>
      <c r="C83" t="s">
        <v>752</v>
      </c>
      <c r="D83" s="2">
        <v>1536590000000</v>
      </c>
      <c r="E83" t="s">
        <v>753</v>
      </c>
      <c r="F83" s="2">
        <v>1619550000000</v>
      </c>
      <c r="G83" t="s">
        <v>519</v>
      </c>
      <c r="H83" s="3">
        <v>187354</v>
      </c>
      <c r="I83" s="3">
        <v>2928749</v>
      </c>
      <c r="J83" s="3">
        <v>54990</v>
      </c>
      <c r="K83" s="3">
        <v>0</v>
      </c>
      <c r="L83" s="3">
        <v>1068</v>
      </c>
      <c r="M83" s="3">
        <v>145111</v>
      </c>
      <c r="N83" s="3">
        <v>22310</v>
      </c>
      <c r="O83" s="3">
        <v>8504</v>
      </c>
      <c r="P83" s="3">
        <v>3040772</v>
      </c>
      <c r="Q83" s="3">
        <f t="shared" si="2"/>
        <v>6388858</v>
      </c>
    </row>
    <row r="84" spans="1:17" x14ac:dyDescent="0.2">
      <c r="A84" t="s">
        <v>520</v>
      </c>
      <c r="B84" t="s">
        <v>521</v>
      </c>
      <c r="C84" t="s">
        <v>522</v>
      </c>
      <c r="D84" s="2">
        <v>1495120000000</v>
      </c>
      <c r="E84" t="s">
        <v>523</v>
      </c>
      <c r="F84" s="2">
        <v>1611720000000</v>
      </c>
      <c r="G84" t="s">
        <v>20</v>
      </c>
      <c r="H84" s="3">
        <v>178173</v>
      </c>
      <c r="I84" s="3">
        <v>1228199</v>
      </c>
      <c r="J84" s="3">
        <v>40095</v>
      </c>
      <c r="K84" s="3">
        <v>0</v>
      </c>
      <c r="L84" s="3">
        <v>56</v>
      </c>
      <c r="M84" s="3">
        <v>82712</v>
      </c>
      <c r="N84" s="3">
        <v>3484</v>
      </c>
      <c r="O84" s="3">
        <v>11605</v>
      </c>
      <c r="P84" s="3">
        <v>1350340</v>
      </c>
      <c r="Q84" s="3">
        <f t="shared" si="2"/>
        <v>2894664</v>
      </c>
    </row>
    <row r="85" spans="1:17" x14ac:dyDescent="0.2">
      <c r="A85" t="s">
        <v>537</v>
      </c>
      <c r="B85" t="s">
        <v>538</v>
      </c>
      <c r="C85" t="s">
        <v>539</v>
      </c>
      <c r="D85" s="2">
        <v>1527710000000</v>
      </c>
      <c r="E85" t="s">
        <v>540</v>
      </c>
      <c r="F85" s="2">
        <v>1616790000000</v>
      </c>
      <c r="G85" t="s">
        <v>59</v>
      </c>
      <c r="H85" s="3">
        <v>161930</v>
      </c>
      <c r="I85" s="3">
        <v>252912</v>
      </c>
      <c r="J85" s="3">
        <v>2714</v>
      </c>
      <c r="K85" s="3">
        <v>0</v>
      </c>
      <c r="L85" s="3">
        <v>0</v>
      </c>
      <c r="M85" s="3">
        <v>0</v>
      </c>
      <c r="N85" s="3">
        <v>505</v>
      </c>
      <c r="O85" s="3">
        <v>0</v>
      </c>
      <c r="P85" s="3">
        <v>319306</v>
      </c>
      <c r="Q85" s="3">
        <f t="shared" si="2"/>
        <v>737367</v>
      </c>
    </row>
    <row r="86" spans="1:17" x14ac:dyDescent="0.2">
      <c r="A86" t="s">
        <v>577</v>
      </c>
      <c r="B86" t="s">
        <v>578</v>
      </c>
      <c r="C86" t="s">
        <v>579</v>
      </c>
      <c r="D86" s="2">
        <v>1535060000000</v>
      </c>
      <c r="E86" t="s">
        <v>580</v>
      </c>
      <c r="F86" s="2">
        <v>1619720000000</v>
      </c>
      <c r="G86" t="s">
        <v>35</v>
      </c>
      <c r="H86" s="3">
        <v>160705</v>
      </c>
      <c r="I86" s="3">
        <v>690326</v>
      </c>
      <c r="J86" s="3">
        <v>67072</v>
      </c>
      <c r="K86" s="3">
        <v>0</v>
      </c>
      <c r="L86" s="3">
        <v>0</v>
      </c>
      <c r="M86" s="3">
        <v>5</v>
      </c>
      <c r="N86" s="3">
        <v>338</v>
      </c>
      <c r="O86" s="3">
        <v>3</v>
      </c>
      <c r="P86" s="3">
        <v>795182</v>
      </c>
      <c r="Q86" s="3">
        <f t="shared" si="2"/>
        <v>1713631</v>
      </c>
    </row>
    <row r="87" spans="1:17" x14ac:dyDescent="0.2">
      <c r="A87" t="s">
        <v>470</v>
      </c>
      <c r="B87" t="s">
        <v>471</v>
      </c>
      <c r="C87" t="s">
        <v>472</v>
      </c>
      <c r="D87" s="2">
        <v>1366660000000</v>
      </c>
      <c r="E87" t="s">
        <v>473</v>
      </c>
      <c r="F87" s="2">
        <v>1616020000000</v>
      </c>
      <c r="G87" t="s">
        <v>68</v>
      </c>
      <c r="H87" s="3">
        <v>160527</v>
      </c>
      <c r="I87" s="3">
        <v>523370</v>
      </c>
      <c r="J87" s="3">
        <v>453838</v>
      </c>
      <c r="K87" s="3">
        <v>0</v>
      </c>
      <c r="L87" s="3">
        <v>214</v>
      </c>
      <c r="M87" s="3">
        <v>1305643</v>
      </c>
      <c r="N87" s="3">
        <v>47087</v>
      </c>
      <c r="O87" s="3">
        <v>33034</v>
      </c>
      <c r="P87" s="3">
        <v>530067</v>
      </c>
      <c r="Q87" s="3">
        <f t="shared" si="2"/>
        <v>3053780</v>
      </c>
    </row>
    <row r="88" spans="1:17" x14ac:dyDescent="0.2">
      <c r="A88" t="s">
        <v>82</v>
      </c>
      <c r="B88" t="s">
        <v>83</v>
      </c>
      <c r="C88" t="s">
        <v>84</v>
      </c>
      <c r="D88" s="2">
        <v>1392400000000</v>
      </c>
      <c r="E88" t="s">
        <v>80</v>
      </c>
      <c r="F88" s="2">
        <v>1611720000000</v>
      </c>
      <c r="G88" t="s">
        <v>25</v>
      </c>
      <c r="H88" s="3">
        <v>156322</v>
      </c>
      <c r="I88" s="3">
        <v>879883</v>
      </c>
      <c r="J88" s="3">
        <v>197953</v>
      </c>
      <c r="K88" s="3">
        <v>0</v>
      </c>
      <c r="L88" s="3">
        <v>60</v>
      </c>
      <c r="M88" s="3">
        <v>580660</v>
      </c>
      <c r="N88" s="3">
        <v>18642</v>
      </c>
      <c r="O88" s="3">
        <v>4210</v>
      </c>
      <c r="P88" s="3">
        <v>910913</v>
      </c>
      <c r="Q88" s="3">
        <f t="shared" si="2"/>
        <v>2748643</v>
      </c>
    </row>
    <row r="89" spans="1:17" x14ac:dyDescent="0.2">
      <c r="A89" t="s">
        <v>426</v>
      </c>
      <c r="B89" t="s">
        <v>427</v>
      </c>
      <c r="C89" t="s">
        <v>428</v>
      </c>
      <c r="D89" s="2">
        <v>1507340000000</v>
      </c>
      <c r="E89" t="s">
        <v>429</v>
      </c>
      <c r="F89" s="2">
        <v>1611720000000</v>
      </c>
      <c r="G89" t="s">
        <v>59</v>
      </c>
      <c r="H89" s="3">
        <v>152433</v>
      </c>
      <c r="I89" s="3">
        <v>467327</v>
      </c>
      <c r="J89" s="3">
        <v>13522</v>
      </c>
      <c r="K89" s="3">
        <v>0</v>
      </c>
      <c r="L89" s="3">
        <v>0</v>
      </c>
      <c r="M89" s="3">
        <v>0</v>
      </c>
      <c r="N89" s="3">
        <v>65</v>
      </c>
      <c r="O89" s="3">
        <v>795</v>
      </c>
      <c r="P89" s="3">
        <v>548958</v>
      </c>
      <c r="Q89" s="3">
        <f t="shared" si="2"/>
        <v>1183100</v>
      </c>
    </row>
    <row r="90" spans="1:17" x14ac:dyDescent="0.2">
      <c r="A90" t="s">
        <v>299</v>
      </c>
      <c r="B90" t="s">
        <v>300</v>
      </c>
      <c r="C90" t="s">
        <v>301</v>
      </c>
      <c r="D90" s="2">
        <v>1406740000000</v>
      </c>
      <c r="E90" t="s">
        <v>302</v>
      </c>
      <c r="F90" s="2">
        <v>1619830000000</v>
      </c>
      <c r="G90" t="s">
        <v>185</v>
      </c>
      <c r="H90" s="3">
        <v>145707</v>
      </c>
      <c r="I90" s="3">
        <v>609761</v>
      </c>
      <c r="J90" s="3">
        <v>409560</v>
      </c>
      <c r="K90" s="3">
        <v>0</v>
      </c>
      <c r="L90" s="3">
        <v>781</v>
      </c>
      <c r="M90" s="3">
        <v>1277140</v>
      </c>
      <c r="N90" s="3">
        <v>35145</v>
      </c>
      <c r="O90" s="3">
        <v>29942</v>
      </c>
      <c r="P90" s="3">
        <v>1242616</v>
      </c>
      <c r="Q90" s="3">
        <f t="shared" si="2"/>
        <v>3750652</v>
      </c>
    </row>
    <row r="91" spans="1:17" x14ac:dyDescent="0.2">
      <c r="A91" t="s">
        <v>581</v>
      </c>
      <c r="B91" t="s">
        <v>582</v>
      </c>
      <c r="C91" t="s">
        <v>583</v>
      </c>
      <c r="D91" s="2">
        <v>1545160000000</v>
      </c>
      <c r="E91" t="s">
        <v>584</v>
      </c>
      <c r="F91" s="2">
        <v>1610040000000</v>
      </c>
      <c r="G91" t="s">
        <v>585</v>
      </c>
      <c r="H91" s="3">
        <v>144573</v>
      </c>
      <c r="I91" s="3">
        <v>703252</v>
      </c>
      <c r="J91" s="3">
        <v>31335</v>
      </c>
      <c r="K91" s="3">
        <v>0</v>
      </c>
      <c r="L91" s="3">
        <v>0</v>
      </c>
      <c r="M91" s="3">
        <v>79</v>
      </c>
      <c r="N91" s="3">
        <v>485</v>
      </c>
      <c r="O91" s="3">
        <v>0</v>
      </c>
      <c r="P91" s="3">
        <v>854950</v>
      </c>
      <c r="Q91" s="3">
        <f t="shared" si="2"/>
        <v>1734674</v>
      </c>
    </row>
    <row r="92" spans="1:17" x14ac:dyDescent="0.2">
      <c r="A92" t="s">
        <v>362</v>
      </c>
      <c r="B92" t="s">
        <v>363</v>
      </c>
      <c r="C92" t="s">
        <v>364</v>
      </c>
      <c r="D92" s="2">
        <v>1366820000000</v>
      </c>
      <c r="E92" t="s">
        <v>365</v>
      </c>
      <c r="F92" s="2">
        <v>1611770000000</v>
      </c>
      <c r="G92" t="s">
        <v>68</v>
      </c>
      <c r="H92" s="3">
        <v>141925</v>
      </c>
      <c r="I92" s="3">
        <v>258764</v>
      </c>
      <c r="J92" s="3">
        <v>314520</v>
      </c>
      <c r="K92" s="3">
        <v>0</v>
      </c>
      <c r="L92" s="3">
        <v>611</v>
      </c>
      <c r="M92" s="3">
        <v>896388</v>
      </c>
      <c r="N92" s="3">
        <v>71350</v>
      </c>
      <c r="O92" s="3">
        <v>71573</v>
      </c>
      <c r="P92" s="3">
        <v>263397</v>
      </c>
      <c r="Q92" s="3">
        <f t="shared" si="2"/>
        <v>2018528</v>
      </c>
    </row>
    <row r="93" spans="1:17" x14ac:dyDescent="0.2">
      <c r="A93" t="s">
        <v>494</v>
      </c>
      <c r="B93" t="s">
        <v>495</v>
      </c>
      <c r="C93" t="s">
        <v>496</v>
      </c>
      <c r="D93" s="2">
        <v>1423060000000</v>
      </c>
      <c r="E93" t="s">
        <v>497</v>
      </c>
      <c r="F93" s="2">
        <v>1615840000000</v>
      </c>
      <c r="G93" t="s">
        <v>25</v>
      </c>
      <c r="H93" s="3">
        <v>135121</v>
      </c>
      <c r="I93" s="3">
        <v>796900</v>
      </c>
      <c r="J93" s="3">
        <v>36773</v>
      </c>
      <c r="K93" s="3">
        <v>0</v>
      </c>
      <c r="L93" s="3">
        <v>30</v>
      </c>
      <c r="M93" s="3">
        <v>89112</v>
      </c>
      <c r="N93" s="3">
        <v>6955</v>
      </c>
      <c r="O93" s="3">
        <v>3144</v>
      </c>
      <c r="P93" s="3">
        <v>800458</v>
      </c>
      <c r="Q93" s="3">
        <f t="shared" si="2"/>
        <v>1868493</v>
      </c>
    </row>
    <row r="94" spans="1:17" x14ac:dyDescent="0.2">
      <c r="A94" t="s">
        <v>258</v>
      </c>
      <c r="B94" t="s">
        <v>259</v>
      </c>
      <c r="C94" t="s">
        <v>260</v>
      </c>
      <c r="D94" s="2">
        <v>1533910000000</v>
      </c>
      <c r="E94" t="s">
        <v>261</v>
      </c>
      <c r="F94" s="2">
        <v>1619560000000</v>
      </c>
      <c r="G94" t="s">
        <v>25</v>
      </c>
      <c r="H94" s="3">
        <v>124867</v>
      </c>
      <c r="I94" s="3">
        <v>290877</v>
      </c>
      <c r="J94" s="3">
        <v>264672</v>
      </c>
      <c r="K94" s="3">
        <v>0</v>
      </c>
      <c r="L94" s="3">
        <v>429</v>
      </c>
      <c r="M94" s="3">
        <v>474396</v>
      </c>
      <c r="N94" s="3">
        <v>10179</v>
      </c>
      <c r="O94" s="3">
        <v>110056</v>
      </c>
      <c r="P94" s="3">
        <v>248775</v>
      </c>
      <c r="Q94" s="3">
        <f t="shared" si="2"/>
        <v>1524251</v>
      </c>
    </row>
    <row r="95" spans="1:17" x14ac:dyDescent="0.2">
      <c r="A95" t="s">
        <v>262</v>
      </c>
      <c r="B95" t="s">
        <v>263</v>
      </c>
      <c r="C95" t="s">
        <v>264</v>
      </c>
      <c r="D95" s="2">
        <v>1370450000000</v>
      </c>
      <c r="E95" t="s">
        <v>265</v>
      </c>
      <c r="F95" s="2">
        <v>1608040000000</v>
      </c>
      <c r="G95" t="s">
        <v>185</v>
      </c>
      <c r="H95" s="3">
        <v>124172</v>
      </c>
      <c r="I95" s="3">
        <v>263731</v>
      </c>
      <c r="J95" s="3">
        <v>83490</v>
      </c>
      <c r="K95" s="3">
        <v>0</v>
      </c>
      <c r="L95" s="3">
        <v>0</v>
      </c>
      <c r="M95" s="3">
        <v>5687</v>
      </c>
      <c r="N95" s="3">
        <v>31997</v>
      </c>
      <c r="O95" s="3">
        <v>0</v>
      </c>
      <c r="P95" s="3">
        <v>330497</v>
      </c>
      <c r="Q95" s="3">
        <f t="shared" si="2"/>
        <v>839574</v>
      </c>
    </row>
    <row r="96" spans="1:17" x14ac:dyDescent="0.2">
      <c r="A96" t="s">
        <v>280</v>
      </c>
      <c r="B96" t="s">
        <v>281</v>
      </c>
      <c r="C96" t="s">
        <v>282</v>
      </c>
      <c r="D96" s="2">
        <v>1490820000000</v>
      </c>
      <c r="E96" t="s">
        <v>283</v>
      </c>
      <c r="F96" s="2">
        <v>1617300000000</v>
      </c>
      <c r="G96" t="s">
        <v>284</v>
      </c>
      <c r="H96" s="3">
        <v>123342</v>
      </c>
      <c r="I96" s="3">
        <v>960600</v>
      </c>
      <c r="J96" s="3">
        <v>128449</v>
      </c>
      <c r="K96" s="3">
        <v>0</v>
      </c>
      <c r="L96" s="3">
        <v>102</v>
      </c>
      <c r="M96" s="3">
        <v>209277</v>
      </c>
      <c r="N96" s="3">
        <v>13095</v>
      </c>
      <c r="O96" s="3">
        <v>19535</v>
      </c>
      <c r="P96" s="3">
        <v>1441187</v>
      </c>
      <c r="Q96" s="3">
        <f t="shared" si="2"/>
        <v>2895587</v>
      </c>
    </row>
    <row r="97" spans="1:17" x14ac:dyDescent="0.2">
      <c r="A97" t="s">
        <v>218</v>
      </c>
      <c r="B97" t="s">
        <v>219</v>
      </c>
      <c r="C97" t="s">
        <v>220</v>
      </c>
      <c r="D97" s="2">
        <v>1427380000000</v>
      </c>
      <c r="E97" t="s">
        <v>221</v>
      </c>
      <c r="F97" s="2">
        <v>1608220000000</v>
      </c>
      <c r="G97" t="s">
        <v>68</v>
      </c>
      <c r="H97" s="3">
        <v>122827</v>
      </c>
      <c r="I97" s="3">
        <v>201415</v>
      </c>
      <c r="J97" s="3">
        <v>70349</v>
      </c>
      <c r="K97" s="3">
        <v>0</v>
      </c>
      <c r="L97" s="3">
        <v>88</v>
      </c>
      <c r="M97" s="3">
        <v>209729</v>
      </c>
      <c r="N97" s="3">
        <v>9283</v>
      </c>
      <c r="O97" s="3">
        <v>3511</v>
      </c>
      <c r="P97" s="3">
        <v>201730</v>
      </c>
      <c r="Q97" s="3">
        <f t="shared" si="2"/>
        <v>818932</v>
      </c>
    </row>
    <row r="98" spans="1:17" x14ac:dyDescent="0.2">
      <c r="A98" t="s">
        <v>366</v>
      </c>
      <c r="B98" t="s">
        <v>367</v>
      </c>
      <c r="C98" t="s">
        <v>368</v>
      </c>
      <c r="D98" s="2">
        <v>1427750000000</v>
      </c>
      <c r="E98" t="s">
        <v>369</v>
      </c>
      <c r="F98" s="2">
        <v>1617210000000</v>
      </c>
      <c r="G98" t="s">
        <v>20</v>
      </c>
      <c r="H98" s="3">
        <v>111433</v>
      </c>
      <c r="I98" s="3">
        <v>3628347</v>
      </c>
      <c r="J98" s="3">
        <v>185085</v>
      </c>
      <c r="K98" s="3">
        <v>0</v>
      </c>
      <c r="L98" s="3">
        <v>198</v>
      </c>
      <c r="M98" s="3">
        <v>290788</v>
      </c>
      <c r="N98" s="3">
        <v>20047</v>
      </c>
      <c r="O98" s="3">
        <v>35721</v>
      </c>
      <c r="P98" s="3">
        <v>3767187</v>
      </c>
      <c r="Q98" s="3">
        <f t="shared" ref="Q98:Q129" si="3">SUM(H98:P98)</f>
        <v>8038806</v>
      </c>
    </row>
    <row r="99" spans="1:17" x14ac:dyDescent="0.2">
      <c r="A99" t="s">
        <v>478</v>
      </c>
      <c r="B99" t="s">
        <v>479</v>
      </c>
      <c r="C99" t="s">
        <v>480</v>
      </c>
      <c r="D99" s="2">
        <v>1366730000000</v>
      </c>
      <c r="E99" t="s">
        <v>481</v>
      </c>
      <c r="F99" s="2">
        <v>1608040000000</v>
      </c>
      <c r="G99" t="s">
        <v>59</v>
      </c>
      <c r="H99" s="3">
        <v>107059</v>
      </c>
      <c r="I99" s="3">
        <v>178070</v>
      </c>
      <c r="J99" s="3">
        <v>65051</v>
      </c>
      <c r="K99" s="3">
        <v>0</v>
      </c>
      <c r="L99" s="3">
        <v>0</v>
      </c>
      <c r="M99" s="3">
        <v>83898</v>
      </c>
      <c r="N99" s="3">
        <v>7609</v>
      </c>
      <c r="O99" s="3">
        <v>0</v>
      </c>
      <c r="P99" s="3">
        <v>239200</v>
      </c>
      <c r="Q99" s="3">
        <f t="shared" si="3"/>
        <v>680887</v>
      </c>
    </row>
    <row r="100" spans="1:17" x14ac:dyDescent="0.2">
      <c r="A100" t="s">
        <v>349</v>
      </c>
      <c r="B100" t="s">
        <v>350</v>
      </c>
      <c r="C100" t="s">
        <v>351</v>
      </c>
      <c r="D100" s="2">
        <v>1433360000000</v>
      </c>
      <c r="E100" t="s">
        <v>352</v>
      </c>
      <c r="F100" s="2">
        <v>1611720000000</v>
      </c>
      <c r="G100" t="s">
        <v>30</v>
      </c>
      <c r="H100" s="3">
        <v>105822</v>
      </c>
      <c r="I100" s="3">
        <v>209939</v>
      </c>
      <c r="J100" s="3">
        <v>34736</v>
      </c>
      <c r="K100" s="3">
        <v>0</v>
      </c>
      <c r="L100" s="3">
        <v>160</v>
      </c>
      <c r="M100" s="3">
        <v>81696</v>
      </c>
      <c r="N100" s="3">
        <v>5139</v>
      </c>
      <c r="O100" s="3">
        <v>2417</v>
      </c>
      <c r="P100" s="3">
        <v>249748</v>
      </c>
      <c r="Q100" s="3">
        <f t="shared" si="3"/>
        <v>689657</v>
      </c>
    </row>
    <row r="101" spans="1:17" x14ac:dyDescent="0.2">
      <c r="A101" t="s">
        <v>515</v>
      </c>
      <c r="B101" t="s">
        <v>516</v>
      </c>
      <c r="C101" t="s">
        <v>517</v>
      </c>
      <c r="D101" s="2">
        <v>1480620000000</v>
      </c>
      <c r="E101" t="s">
        <v>518</v>
      </c>
      <c r="F101" s="2">
        <v>1619190000000</v>
      </c>
      <c r="G101" t="s">
        <v>519</v>
      </c>
      <c r="H101" s="3">
        <v>104902</v>
      </c>
      <c r="I101" s="3">
        <v>396501</v>
      </c>
      <c r="J101" s="3">
        <v>29146</v>
      </c>
      <c r="K101" s="3">
        <v>0</v>
      </c>
      <c r="L101" s="3">
        <v>350</v>
      </c>
      <c r="M101" s="3">
        <v>72056</v>
      </c>
      <c r="N101" s="3">
        <v>8684</v>
      </c>
      <c r="O101" s="3">
        <v>13816</v>
      </c>
      <c r="P101" s="3">
        <v>478678</v>
      </c>
      <c r="Q101" s="3">
        <f t="shared" si="3"/>
        <v>1104133</v>
      </c>
    </row>
    <row r="102" spans="1:17" x14ac:dyDescent="0.2">
      <c r="A102" t="s">
        <v>616</v>
      </c>
      <c r="B102" t="s">
        <v>617</v>
      </c>
      <c r="C102" t="s">
        <v>618</v>
      </c>
      <c r="D102" s="2">
        <v>1565810000000</v>
      </c>
      <c r="E102" t="s">
        <v>619</v>
      </c>
      <c r="F102" s="2">
        <v>1619480000000</v>
      </c>
      <c r="G102" t="s">
        <v>620</v>
      </c>
      <c r="H102" s="3">
        <v>98088</v>
      </c>
      <c r="I102" s="3">
        <v>1021165</v>
      </c>
      <c r="J102" s="3">
        <v>359793</v>
      </c>
      <c r="K102" s="3">
        <v>0</v>
      </c>
      <c r="L102" s="3">
        <v>16180</v>
      </c>
      <c r="M102" s="3">
        <v>504236</v>
      </c>
      <c r="N102" s="3">
        <v>0</v>
      </c>
      <c r="O102" s="3">
        <v>267304</v>
      </c>
      <c r="P102" s="3">
        <v>1157877</v>
      </c>
      <c r="Q102" s="3">
        <f t="shared" si="3"/>
        <v>3424643</v>
      </c>
    </row>
    <row r="103" spans="1:17" x14ac:dyDescent="0.2">
      <c r="A103" t="s">
        <v>333</v>
      </c>
      <c r="B103" t="s">
        <v>334</v>
      </c>
      <c r="C103" t="s">
        <v>335</v>
      </c>
      <c r="D103" s="2">
        <v>1372050000000</v>
      </c>
      <c r="E103" t="s">
        <v>134</v>
      </c>
      <c r="F103" s="2">
        <v>1608040000000</v>
      </c>
      <c r="G103" t="s">
        <v>68</v>
      </c>
      <c r="H103" s="3">
        <v>97616</v>
      </c>
      <c r="I103" s="3">
        <v>233975</v>
      </c>
      <c r="J103" s="3">
        <v>137311</v>
      </c>
      <c r="K103" s="3">
        <v>0</v>
      </c>
      <c r="L103" s="3">
        <v>4</v>
      </c>
      <c r="M103" s="3">
        <v>358920</v>
      </c>
      <c r="N103" s="3">
        <v>11622</v>
      </c>
      <c r="O103" s="3">
        <v>0</v>
      </c>
      <c r="P103" s="3">
        <v>233976</v>
      </c>
      <c r="Q103" s="3">
        <f t="shared" si="3"/>
        <v>1073424</v>
      </c>
    </row>
    <row r="104" spans="1:17" x14ac:dyDescent="0.2">
      <c r="A104" t="s">
        <v>155</v>
      </c>
      <c r="B104" t="s">
        <v>156</v>
      </c>
      <c r="C104" t="s">
        <v>157</v>
      </c>
      <c r="D104" s="2">
        <v>1495120000000</v>
      </c>
      <c r="E104" t="s">
        <v>158</v>
      </c>
      <c r="F104" s="2">
        <v>1617740000000</v>
      </c>
      <c r="G104" t="s">
        <v>25</v>
      </c>
      <c r="H104" s="3">
        <v>97037</v>
      </c>
      <c r="I104" s="3">
        <v>229126</v>
      </c>
      <c r="J104" s="3">
        <v>337736</v>
      </c>
      <c r="K104" s="3">
        <v>0</v>
      </c>
      <c r="L104" s="3">
        <v>436</v>
      </c>
      <c r="M104" s="3">
        <v>1596014</v>
      </c>
      <c r="N104" s="3">
        <v>33411</v>
      </c>
      <c r="O104" s="3">
        <v>40253</v>
      </c>
      <c r="P104" s="3">
        <v>229470</v>
      </c>
      <c r="Q104" s="3">
        <f t="shared" si="3"/>
        <v>2563483</v>
      </c>
    </row>
    <row r="105" spans="1:17" x14ac:dyDescent="0.2">
      <c r="A105" t="s">
        <v>799</v>
      </c>
      <c r="B105" t="s">
        <v>800</v>
      </c>
      <c r="C105" t="s">
        <v>801</v>
      </c>
      <c r="D105" s="2">
        <v>1552680000000</v>
      </c>
      <c r="E105" t="s">
        <v>802</v>
      </c>
      <c r="F105" s="2">
        <v>1611720000000</v>
      </c>
      <c r="G105" t="s">
        <v>94</v>
      </c>
      <c r="H105" s="3">
        <v>96780</v>
      </c>
      <c r="I105" s="3">
        <v>284309</v>
      </c>
      <c r="J105" s="3">
        <v>23427</v>
      </c>
      <c r="K105" s="3">
        <v>0</v>
      </c>
      <c r="L105" s="3">
        <v>0</v>
      </c>
      <c r="M105" s="3">
        <v>0</v>
      </c>
      <c r="N105" s="3">
        <v>338</v>
      </c>
      <c r="O105" s="3">
        <v>132</v>
      </c>
      <c r="P105" s="3">
        <v>479351</v>
      </c>
      <c r="Q105" s="3">
        <f t="shared" si="3"/>
        <v>884337</v>
      </c>
    </row>
    <row r="106" spans="1:17" x14ac:dyDescent="0.2">
      <c r="A106" t="s">
        <v>735</v>
      </c>
      <c r="B106" t="s">
        <v>736</v>
      </c>
      <c r="C106" t="s">
        <v>737</v>
      </c>
      <c r="D106" s="2">
        <v>1573770000000</v>
      </c>
      <c r="E106" t="s">
        <v>738</v>
      </c>
      <c r="F106" s="2">
        <v>1616020000000</v>
      </c>
      <c r="G106" t="s">
        <v>519</v>
      </c>
      <c r="H106" s="3">
        <v>93356</v>
      </c>
      <c r="I106" s="3">
        <v>486472</v>
      </c>
      <c r="J106" s="3">
        <v>15436</v>
      </c>
      <c r="K106" s="3">
        <v>0</v>
      </c>
      <c r="L106" s="3">
        <v>18</v>
      </c>
      <c r="M106" s="3">
        <v>38200</v>
      </c>
      <c r="N106" s="3">
        <v>1257</v>
      </c>
      <c r="O106" s="3">
        <v>14120</v>
      </c>
      <c r="P106" s="3">
        <v>597098</v>
      </c>
      <c r="Q106" s="3">
        <f t="shared" si="3"/>
        <v>1245957</v>
      </c>
    </row>
    <row r="107" spans="1:17" x14ac:dyDescent="0.2">
      <c r="A107" t="s">
        <v>115</v>
      </c>
      <c r="B107" t="s">
        <v>116</v>
      </c>
      <c r="C107" t="s">
        <v>117</v>
      </c>
      <c r="D107" s="2">
        <v>1524600000000</v>
      </c>
      <c r="E107" t="s">
        <v>118</v>
      </c>
      <c r="F107" s="2">
        <v>1611720000000</v>
      </c>
      <c r="G107" t="s">
        <v>59</v>
      </c>
      <c r="H107" s="3">
        <v>93259</v>
      </c>
      <c r="I107" s="3">
        <v>487550</v>
      </c>
      <c r="J107" s="3">
        <v>26064</v>
      </c>
      <c r="K107" s="3">
        <v>0</v>
      </c>
      <c r="L107" s="3">
        <v>0</v>
      </c>
      <c r="M107" s="3">
        <v>0</v>
      </c>
      <c r="N107" s="3">
        <v>6360</v>
      </c>
      <c r="O107" s="3">
        <v>981</v>
      </c>
      <c r="P107" s="3">
        <v>596789</v>
      </c>
      <c r="Q107" s="3">
        <f t="shared" si="3"/>
        <v>1211003</v>
      </c>
    </row>
    <row r="108" spans="1:17" x14ac:dyDescent="0.2">
      <c r="A108" t="s">
        <v>353</v>
      </c>
      <c r="B108" t="s">
        <v>354</v>
      </c>
      <c r="C108" t="s">
        <v>355</v>
      </c>
      <c r="D108" s="2">
        <v>1366670000000</v>
      </c>
      <c r="E108" t="s">
        <v>356</v>
      </c>
      <c r="F108" s="2">
        <v>1608210000000</v>
      </c>
      <c r="G108" t="s">
        <v>68</v>
      </c>
      <c r="H108" s="3">
        <v>93101</v>
      </c>
      <c r="I108" s="3">
        <v>166161</v>
      </c>
      <c r="J108" s="3">
        <v>157172</v>
      </c>
      <c r="K108" s="3">
        <v>0</v>
      </c>
      <c r="L108" s="3">
        <v>110</v>
      </c>
      <c r="M108" s="3">
        <v>347892</v>
      </c>
      <c r="N108" s="3">
        <v>18271</v>
      </c>
      <c r="O108" s="3">
        <v>15273</v>
      </c>
      <c r="P108" s="3">
        <v>166164</v>
      </c>
      <c r="Q108" s="3">
        <f t="shared" si="3"/>
        <v>964144</v>
      </c>
    </row>
    <row r="109" spans="1:17" x14ac:dyDescent="0.2">
      <c r="A109" t="s">
        <v>111</v>
      </c>
      <c r="B109" t="s">
        <v>112</v>
      </c>
      <c r="C109" t="s">
        <v>113</v>
      </c>
      <c r="D109" s="2">
        <v>1505500000000</v>
      </c>
      <c r="E109" t="s">
        <v>80</v>
      </c>
      <c r="F109" s="2">
        <v>1611720000000</v>
      </c>
      <c r="G109" t="s">
        <v>114</v>
      </c>
      <c r="H109" s="3">
        <v>87284</v>
      </c>
      <c r="I109" s="3">
        <v>145538</v>
      </c>
      <c r="J109" s="3">
        <v>107714</v>
      </c>
      <c r="K109" s="3">
        <v>0</v>
      </c>
      <c r="L109" s="3">
        <v>7798</v>
      </c>
      <c r="M109" s="3">
        <v>1559620</v>
      </c>
      <c r="N109" s="3">
        <v>2437</v>
      </c>
      <c r="O109" s="3">
        <v>0</v>
      </c>
      <c r="P109" s="3">
        <v>145754</v>
      </c>
      <c r="Q109" s="3">
        <f t="shared" si="3"/>
        <v>2056145</v>
      </c>
    </row>
    <row r="110" spans="1:17" x14ac:dyDescent="0.2">
      <c r="A110" t="s">
        <v>135</v>
      </c>
      <c r="B110" t="s">
        <v>136</v>
      </c>
      <c r="C110" t="s">
        <v>137</v>
      </c>
      <c r="D110" s="2">
        <v>1428340000000</v>
      </c>
      <c r="E110" t="s">
        <v>138</v>
      </c>
      <c r="F110" s="2">
        <v>1615240000000</v>
      </c>
      <c r="G110" t="s">
        <v>139</v>
      </c>
      <c r="H110" s="3">
        <v>85584</v>
      </c>
      <c r="I110" s="3">
        <v>242597</v>
      </c>
      <c r="J110" s="3">
        <v>1333</v>
      </c>
      <c r="K110" s="3">
        <v>0</v>
      </c>
      <c r="L110" s="3">
        <v>2</v>
      </c>
      <c r="M110" s="3">
        <v>3976</v>
      </c>
      <c r="N110" s="3">
        <v>4</v>
      </c>
      <c r="O110" s="3">
        <v>0</v>
      </c>
      <c r="P110" s="3">
        <v>269774</v>
      </c>
      <c r="Q110" s="3">
        <f t="shared" si="3"/>
        <v>603270</v>
      </c>
    </row>
    <row r="111" spans="1:17" x14ac:dyDescent="0.2">
      <c r="A111" t="s">
        <v>718</v>
      </c>
      <c r="B111" t="s">
        <v>719</v>
      </c>
      <c r="C111" t="s">
        <v>720</v>
      </c>
      <c r="D111" s="2">
        <v>1553090000000</v>
      </c>
      <c r="E111" t="s">
        <v>721</v>
      </c>
      <c r="F111" s="2">
        <v>1600210000000</v>
      </c>
      <c r="G111" t="s">
        <v>94</v>
      </c>
      <c r="H111" s="3">
        <v>82453</v>
      </c>
      <c r="I111" s="3">
        <v>175707</v>
      </c>
      <c r="J111" s="3">
        <v>802</v>
      </c>
      <c r="K111" s="3">
        <v>0</v>
      </c>
      <c r="L111" s="3">
        <v>0</v>
      </c>
      <c r="M111" s="3">
        <v>0</v>
      </c>
      <c r="N111" s="3">
        <v>25</v>
      </c>
      <c r="O111" s="3">
        <v>0</v>
      </c>
      <c r="P111" s="3">
        <v>230680</v>
      </c>
      <c r="Q111" s="3">
        <f t="shared" si="3"/>
        <v>489667</v>
      </c>
    </row>
    <row r="112" spans="1:17" x14ac:dyDescent="0.2">
      <c r="A112" t="s">
        <v>119</v>
      </c>
      <c r="B112" t="s">
        <v>120</v>
      </c>
      <c r="C112" t="s">
        <v>121</v>
      </c>
      <c r="D112" s="2">
        <v>1531920000000</v>
      </c>
      <c r="E112" t="s">
        <v>122</v>
      </c>
      <c r="F112" s="2">
        <v>1608250000000</v>
      </c>
      <c r="G112" t="s">
        <v>89</v>
      </c>
      <c r="H112" s="3">
        <v>80408</v>
      </c>
      <c r="I112" s="3">
        <v>109302</v>
      </c>
      <c r="J112" s="3">
        <v>89358</v>
      </c>
      <c r="K112" s="3">
        <v>0</v>
      </c>
      <c r="L112" s="3">
        <v>168</v>
      </c>
      <c r="M112" s="3">
        <v>272006</v>
      </c>
      <c r="N112" s="3">
        <v>0</v>
      </c>
      <c r="O112" s="3">
        <v>29660</v>
      </c>
      <c r="P112" s="3">
        <v>109470</v>
      </c>
      <c r="Q112" s="3">
        <f t="shared" si="3"/>
        <v>690372</v>
      </c>
    </row>
    <row r="113" spans="1:17" x14ac:dyDescent="0.2">
      <c r="A113" t="s">
        <v>572</v>
      </c>
      <c r="B113" t="s">
        <v>573</v>
      </c>
      <c r="C113" t="s">
        <v>574</v>
      </c>
      <c r="D113" s="2">
        <v>1535470000000</v>
      </c>
      <c r="E113" t="s">
        <v>575</v>
      </c>
      <c r="F113" s="2">
        <v>1612290000000</v>
      </c>
      <c r="G113" t="s">
        <v>576</v>
      </c>
      <c r="H113" s="3">
        <v>77141</v>
      </c>
      <c r="I113" s="3">
        <v>656433</v>
      </c>
      <c r="J113" s="3">
        <v>221840</v>
      </c>
      <c r="K113" s="3">
        <v>0</v>
      </c>
      <c r="L113" s="3">
        <v>2939</v>
      </c>
      <c r="M113" s="3">
        <v>414668</v>
      </c>
      <c r="N113" s="3">
        <v>11320</v>
      </c>
      <c r="O113" s="3">
        <v>106544</v>
      </c>
      <c r="P113" s="3">
        <v>639874</v>
      </c>
      <c r="Q113" s="3">
        <f t="shared" si="3"/>
        <v>2130759</v>
      </c>
    </row>
    <row r="114" spans="1:17" x14ac:dyDescent="0.2">
      <c r="A114" t="s">
        <v>498</v>
      </c>
      <c r="B114" t="s">
        <v>499</v>
      </c>
      <c r="C114" t="s">
        <v>500</v>
      </c>
      <c r="D114" s="2">
        <v>1426550000000</v>
      </c>
      <c r="E114" t="s">
        <v>501</v>
      </c>
      <c r="F114" s="2">
        <v>1619060000000</v>
      </c>
      <c r="G114" t="s">
        <v>185</v>
      </c>
      <c r="H114" s="3">
        <v>75644</v>
      </c>
      <c r="I114" s="3">
        <v>162575</v>
      </c>
      <c r="J114" s="3">
        <v>123480</v>
      </c>
      <c r="K114" s="3">
        <v>0</v>
      </c>
      <c r="L114" s="3">
        <v>62</v>
      </c>
      <c r="M114" s="3">
        <v>338640</v>
      </c>
      <c r="N114" s="3">
        <v>9639</v>
      </c>
      <c r="O114" s="3">
        <v>18669</v>
      </c>
      <c r="P114" s="3">
        <v>211499</v>
      </c>
      <c r="Q114" s="3">
        <f t="shared" si="3"/>
        <v>940208</v>
      </c>
    </row>
    <row r="115" spans="1:17" x14ac:dyDescent="0.2">
      <c r="A115" t="s">
        <v>604</v>
      </c>
      <c r="B115" t="s">
        <v>605</v>
      </c>
      <c r="C115" t="s">
        <v>606</v>
      </c>
      <c r="D115" s="2">
        <v>1540930000000</v>
      </c>
      <c r="E115" t="s">
        <v>607</v>
      </c>
      <c r="F115" s="2">
        <v>1613620000000</v>
      </c>
      <c r="G115" t="s">
        <v>59</v>
      </c>
      <c r="H115" s="3">
        <v>75642</v>
      </c>
      <c r="I115" s="3">
        <v>608723</v>
      </c>
      <c r="J115" s="3">
        <v>34635</v>
      </c>
      <c r="K115" s="3">
        <v>0</v>
      </c>
      <c r="L115" s="3">
        <v>14</v>
      </c>
      <c r="M115" s="3">
        <v>32797</v>
      </c>
      <c r="N115" s="3">
        <v>1882</v>
      </c>
      <c r="O115" s="3">
        <v>4802</v>
      </c>
      <c r="P115" s="3">
        <v>666395</v>
      </c>
      <c r="Q115" s="3">
        <f t="shared" si="3"/>
        <v>1424890</v>
      </c>
    </row>
    <row r="116" spans="1:17" x14ac:dyDescent="0.2">
      <c r="A116" t="s">
        <v>243</v>
      </c>
      <c r="B116" t="s">
        <v>244</v>
      </c>
      <c r="C116" t="s">
        <v>245</v>
      </c>
      <c r="D116" s="2">
        <v>1523560000000</v>
      </c>
      <c r="E116" t="s">
        <v>246</v>
      </c>
      <c r="F116" s="2">
        <v>1619290000000</v>
      </c>
      <c r="G116" t="s">
        <v>247</v>
      </c>
      <c r="H116" s="3">
        <v>74118</v>
      </c>
      <c r="I116" s="3">
        <v>116337</v>
      </c>
      <c r="J116" s="3">
        <v>91590</v>
      </c>
      <c r="K116" s="3">
        <v>0</v>
      </c>
      <c r="L116" s="3">
        <v>176</v>
      </c>
      <c r="M116" s="3">
        <v>224983</v>
      </c>
      <c r="N116" s="3">
        <v>11740</v>
      </c>
      <c r="O116" s="3">
        <v>37946</v>
      </c>
      <c r="P116" s="3">
        <v>116343</v>
      </c>
      <c r="Q116" s="3">
        <f t="shared" si="3"/>
        <v>673233</v>
      </c>
    </row>
    <row r="117" spans="1:17" x14ac:dyDescent="0.2">
      <c r="A117" t="s">
        <v>621</v>
      </c>
      <c r="B117" t="s">
        <v>622</v>
      </c>
      <c r="C117" t="s">
        <v>623</v>
      </c>
      <c r="D117" s="2">
        <v>1556800000000</v>
      </c>
      <c r="E117" t="s">
        <v>624</v>
      </c>
      <c r="F117" s="2">
        <v>1619890000000</v>
      </c>
      <c r="G117" t="s">
        <v>89</v>
      </c>
      <c r="H117" s="3">
        <v>71773</v>
      </c>
      <c r="I117" s="3">
        <v>42445</v>
      </c>
      <c r="J117" s="3">
        <v>46944</v>
      </c>
      <c r="K117" s="3">
        <v>0</v>
      </c>
      <c r="L117" s="3">
        <v>69</v>
      </c>
      <c r="M117" s="3">
        <v>112310</v>
      </c>
      <c r="N117" s="3">
        <v>5797</v>
      </c>
      <c r="O117" s="3">
        <v>30204</v>
      </c>
      <c r="P117" s="3">
        <v>93637</v>
      </c>
      <c r="Q117" s="3">
        <f t="shared" si="3"/>
        <v>403179</v>
      </c>
    </row>
    <row r="118" spans="1:17" x14ac:dyDescent="0.2">
      <c r="A118" t="s">
        <v>825</v>
      </c>
      <c r="B118" t="s">
        <v>826</v>
      </c>
      <c r="C118" t="s">
        <v>827</v>
      </c>
      <c r="D118" s="2">
        <v>1549640000000</v>
      </c>
      <c r="E118" t="s">
        <v>828</v>
      </c>
      <c r="F118" s="2">
        <v>1619550000000</v>
      </c>
      <c r="G118" t="s">
        <v>829</v>
      </c>
      <c r="H118" s="3">
        <v>69353</v>
      </c>
      <c r="I118" s="3">
        <v>82818</v>
      </c>
      <c r="J118" s="3">
        <v>264378</v>
      </c>
      <c r="K118" s="3">
        <v>0</v>
      </c>
      <c r="L118" s="3">
        <v>954</v>
      </c>
      <c r="M118" s="3">
        <v>637659</v>
      </c>
      <c r="N118" s="3">
        <v>35588</v>
      </c>
      <c r="O118" s="3">
        <v>15546</v>
      </c>
      <c r="P118" s="3">
        <v>100664</v>
      </c>
      <c r="Q118" s="3">
        <f t="shared" si="3"/>
        <v>1206960</v>
      </c>
    </row>
    <row r="119" spans="1:17" x14ac:dyDescent="0.2">
      <c r="A119" t="s">
        <v>466</v>
      </c>
      <c r="B119" t="s">
        <v>467</v>
      </c>
      <c r="C119" t="s">
        <v>468</v>
      </c>
      <c r="D119" s="2">
        <v>1400270000000</v>
      </c>
      <c r="E119" t="s">
        <v>469</v>
      </c>
      <c r="F119" s="2">
        <v>1611720000000</v>
      </c>
      <c r="G119" t="s">
        <v>68</v>
      </c>
      <c r="H119" s="3">
        <v>69171</v>
      </c>
      <c r="I119" s="3">
        <v>267756</v>
      </c>
      <c r="J119" s="3">
        <v>190806</v>
      </c>
      <c r="K119" s="3">
        <v>0</v>
      </c>
      <c r="L119" s="3">
        <v>775</v>
      </c>
      <c r="M119" s="3">
        <v>590709</v>
      </c>
      <c r="N119" s="3">
        <v>8901</v>
      </c>
      <c r="O119" s="3">
        <v>19957</v>
      </c>
      <c r="P119" s="3">
        <v>328232</v>
      </c>
      <c r="Q119" s="3">
        <f t="shared" si="3"/>
        <v>1476307</v>
      </c>
    </row>
    <row r="120" spans="1:17" x14ac:dyDescent="0.2">
      <c r="A120" t="s">
        <v>50</v>
      </c>
      <c r="B120" t="s">
        <v>51</v>
      </c>
      <c r="C120" t="s">
        <v>52</v>
      </c>
      <c r="D120" s="2">
        <v>1445280000000</v>
      </c>
      <c r="E120" t="s">
        <v>53</v>
      </c>
      <c r="F120" s="2">
        <v>1615870000000</v>
      </c>
      <c r="G120" t="s">
        <v>54</v>
      </c>
      <c r="H120" s="3">
        <v>68083</v>
      </c>
      <c r="I120" s="3">
        <v>152570</v>
      </c>
      <c r="J120" s="3">
        <v>24182</v>
      </c>
      <c r="K120" s="3">
        <v>0</v>
      </c>
      <c r="L120" s="3">
        <v>0</v>
      </c>
      <c r="M120" s="3">
        <v>0</v>
      </c>
      <c r="N120" s="3">
        <v>1633</v>
      </c>
      <c r="O120" s="3">
        <v>0</v>
      </c>
      <c r="P120" s="3">
        <v>251113</v>
      </c>
      <c r="Q120" s="3">
        <f t="shared" si="3"/>
        <v>497581</v>
      </c>
    </row>
    <row r="121" spans="1:17" x14ac:dyDescent="0.2">
      <c r="A121" t="s">
        <v>235</v>
      </c>
      <c r="B121" t="s">
        <v>236</v>
      </c>
      <c r="C121" t="s">
        <v>237</v>
      </c>
      <c r="D121" s="2">
        <v>1468540000000</v>
      </c>
      <c r="E121" t="s">
        <v>238</v>
      </c>
      <c r="F121" s="2">
        <v>1608200000000</v>
      </c>
      <c r="G121" t="s">
        <v>68</v>
      </c>
      <c r="H121" s="3">
        <v>67928</v>
      </c>
      <c r="I121" s="3">
        <v>140287</v>
      </c>
      <c r="J121" s="3">
        <v>131077</v>
      </c>
      <c r="K121" s="3">
        <v>0</v>
      </c>
      <c r="L121" s="3">
        <v>1177</v>
      </c>
      <c r="M121" s="3">
        <v>384368</v>
      </c>
      <c r="N121" s="3">
        <v>5790</v>
      </c>
      <c r="O121" s="3">
        <v>15408</v>
      </c>
      <c r="P121" s="3">
        <v>140290</v>
      </c>
      <c r="Q121" s="3">
        <f t="shared" si="3"/>
        <v>886325</v>
      </c>
    </row>
    <row r="122" spans="1:17" x14ac:dyDescent="0.2">
      <c r="A122" t="s">
        <v>774</v>
      </c>
      <c r="B122" t="s">
        <v>775</v>
      </c>
      <c r="C122" t="s">
        <v>776</v>
      </c>
      <c r="D122" s="2">
        <v>1582050000000</v>
      </c>
      <c r="E122" t="s">
        <v>777</v>
      </c>
      <c r="F122" s="2">
        <v>1611720000000</v>
      </c>
      <c r="G122" t="s">
        <v>149</v>
      </c>
      <c r="H122" s="3">
        <v>66060</v>
      </c>
      <c r="I122" s="3">
        <v>88543</v>
      </c>
      <c r="J122" s="3">
        <v>16609</v>
      </c>
      <c r="K122" s="3">
        <v>0</v>
      </c>
      <c r="L122" s="3">
        <v>0</v>
      </c>
      <c r="M122" s="3">
        <v>0</v>
      </c>
      <c r="N122" s="3">
        <v>192</v>
      </c>
      <c r="O122" s="3">
        <v>0</v>
      </c>
      <c r="P122" s="3">
        <v>199789</v>
      </c>
      <c r="Q122" s="3">
        <f t="shared" si="3"/>
        <v>371193</v>
      </c>
    </row>
    <row r="123" spans="1:17" x14ac:dyDescent="0.2">
      <c r="A123" t="s">
        <v>213</v>
      </c>
      <c r="B123" t="s">
        <v>214</v>
      </c>
      <c r="C123" t="s">
        <v>215</v>
      </c>
      <c r="D123" s="2">
        <v>1519670000000</v>
      </c>
      <c r="E123" t="s">
        <v>216</v>
      </c>
      <c r="F123" s="2">
        <v>1611720000000</v>
      </c>
      <c r="G123" t="s">
        <v>217</v>
      </c>
      <c r="H123" s="3">
        <v>60761</v>
      </c>
      <c r="I123" s="3">
        <v>584581</v>
      </c>
      <c r="J123" s="3">
        <v>336482</v>
      </c>
      <c r="K123" s="3">
        <v>0</v>
      </c>
      <c r="L123" s="3">
        <v>8485</v>
      </c>
      <c r="M123" s="3">
        <v>478480</v>
      </c>
      <c r="N123" s="3">
        <v>118089</v>
      </c>
      <c r="O123" s="3">
        <v>101630</v>
      </c>
      <c r="P123" s="3">
        <v>103532</v>
      </c>
      <c r="Q123" s="3">
        <f t="shared" si="3"/>
        <v>1792040</v>
      </c>
    </row>
    <row r="124" spans="1:17" x14ac:dyDescent="0.2">
      <c r="A124" s="1" t="s">
        <v>727</v>
      </c>
      <c r="B124" t="s">
        <v>728</v>
      </c>
      <c r="C124" t="s">
        <v>729</v>
      </c>
      <c r="D124" s="2">
        <v>1581460000000</v>
      </c>
      <c r="E124" t="s">
        <v>730</v>
      </c>
      <c r="F124" s="2">
        <v>1619470000000</v>
      </c>
      <c r="G124" t="s">
        <v>25</v>
      </c>
      <c r="H124" s="3">
        <v>60311</v>
      </c>
      <c r="I124" s="3">
        <v>167537</v>
      </c>
      <c r="J124" s="3">
        <v>152632</v>
      </c>
      <c r="K124" s="3">
        <v>0</v>
      </c>
      <c r="L124" s="3">
        <v>235</v>
      </c>
      <c r="M124" s="3">
        <v>503944</v>
      </c>
      <c r="N124" s="3">
        <v>123907</v>
      </c>
      <c r="O124" s="3">
        <v>122710</v>
      </c>
      <c r="P124" s="3">
        <v>167630</v>
      </c>
      <c r="Q124" s="3">
        <f t="shared" si="3"/>
        <v>1298906</v>
      </c>
    </row>
    <row r="125" spans="1:17" x14ac:dyDescent="0.2">
      <c r="A125" t="s">
        <v>413</v>
      </c>
      <c r="B125" t="s">
        <v>414</v>
      </c>
      <c r="C125" t="s">
        <v>415</v>
      </c>
      <c r="D125" s="2">
        <v>1480510000000</v>
      </c>
      <c r="E125" t="s">
        <v>416</v>
      </c>
      <c r="F125" s="2">
        <v>1614710000000</v>
      </c>
      <c r="G125" t="s">
        <v>49</v>
      </c>
      <c r="H125" s="3">
        <v>59412</v>
      </c>
      <c r="I125" s="3">
        <v>83248</v>
      </c>
      <c r="J125" s="3">
        <v>72234</v>
      </c>
      <c r="K125" s="3">
        <v>0</v>
      </c>
      <c r="L125" s="3">
        <v>49</v>
      </c>
      <c r="M125" s="3">
        <v>130778</v>
      </c>
      <c r="N125" s="3">
        <v>4240</v>
      </c>
      <c r="O125" s="3">
        <v>13991</v>
      </c>
      <c r="P125" s="3">
        <v>83165</v>
      </c>
      <c r="Q125" s="3">
        <f t="shared" si="3"/>
        <v>447117</v>
      </c>
    </row>
    <row r="126" spans="1:17" x14ac:dyDescent="0.2">
      <c r="A126" t="s">
        <v>36</v>
      </c>
      <c r="B126" t="s">
        <v>37</v>
      </c>
      <c r="C126" t="s">
        <v>38</v>
      </c>
      <c r="D126" s="2">
        <v>1471610000000</v>
      </c>
      <c r="E126" t="s">
        <v>39</v>
      </c>
      <c r="F126" s="2">
        <v>1611780000000</v>
      </c>
      <c r="G126" t="s">
        <v>40</v>
      </c>
      <c r="H126" s="3">
        <v>58847</v>
      </c>
      <c r="I126" s="3">
        <v>513324</v>
      </c>
      <c r="J126" s="3">
        <v>12082</v>
      </c>
      <c r="K126" s="3">
        <v>0</v>
      </c>
      <c r="L126" s="3">
        <v>19</v>
      </c>
      <c r="M126" s="3">
        <v>28969</v>
      </c>
      <c r="N126" s="3">
        <v>1638</v>
      </c>
      <c r="O126" s="3">
        <v>2043</v>
      </c>
      <c r="P126" s="3">
        <v>576745</v>
      </c>
      <c r="Q126" s="3">
        <f t="shared" si="3"/>
        <v>1193667</v>
      </c>
    </row>
    <row r="127" spans="1:17" x14ac:dyDescent="0.2">
      <c r="A127" t="s">
        <v>127</v>
      </c>
      <c r="B127" t="s">
        <v>128</v>
      </c>
      <c r="C127" t="s">
        <v>129</v>
      </c>
      <c r="D127" s="2">
        <v>1383170000000</v>
      </c>
      <c r="E127" t="s">
        <v>130</v>
      </c>
      <c r="F127" s="2">
        <v>1608040000000</v>
      </c>
      <c r="G127" t="s">
        <v>25</v>
      </c>
      <c r="H127" s="3">
        <v>57919</v>
      </c>
      <c r="I127" s="3">
        <v>81165</v>
      </c>
      <c r="J127" s="3">
        <v>72592</v>
      </c>
      <c r="K127" s="3">
        <v>0</v>
      </c>
      <c r="L127" s="3">
        <v>46</v>
      </c>
      <c r="M127" s="3">
        <v>190639</v>
      </c>
      <c r="N127" s="3">
        <v>10111</v>
      </c>
      <c r="O127" s="3">
        <v>2554</v>
      </c>
      <c r="P127" s="3">
        <v>81215</v>
      </c>
      <c r="Q127" s="3">
        <f t="shared" si="3"/>
        <v>496241</v>
      </c>
    </row>
    <row r="128" spans="1:17" x14ac:dyDescent="0.2">
      <c r="A128" t="s">
        <v>612</v>
      </c>
      <c r="B128" t="s">
        <v>613</v>
      </c>
      <c r="C128" t="s">
        <v>614</v>
      </c>
      <c r="D128" s="2">
        <v>1552320000000</v>
      </c>
      <c r="E128" t="s">
        <v>615</v>
      </c>
      <c r="F128" s="2">
        <v>1617640000000</v>
      </c>
      <c r="G128" t="s">
        <v>89</v>
      </c>
      <c r="H128" s="3">
        <v>56610</v>
      </c>
      <c r="I128" s="3">
        <v>117694</v>
      </c>
      <c r="J128" s="3">
        <v>117160</v>
      </c>
      <c r="K128" s="3">
        <v>0</v>
      </c>
      <c r="L128" s="3">
        <v>115</v>
      </c>
      <c r="M128" s="3">
        <v>355749</v>
      </c>
      <c r="N128" s="3">
        <v>18266</v>
      </c>
      <c r="O128" s="3">
        <v>49129</v>
      </c>
      <c r="P128" s="3">
        <v>118139</v>
      </c>
      <c r="Q128" s="3">
        <f t="shared" si="3"/>
        <v>832862</v>
      </c>
    </row>
    <row r="129" spans="1:17" x14ac:dyDescent="0.2">
      <c r="A129" t="s">
        <v>325</v>
      </c>
      <c r="B129" t="s">
        <v>326</v>
      </c>
      <c r="C129" t="s">
        <v>327</v>
      </c>
      <c r="D129" s="2">
        <v>1525970000000</v>
      </c>
      <c r="E129" t="s">
        <v>328</v>
      </c>
      <c r="F129" s="2">
        <v>1616010000000</v>
      </c>
      <c r="G129" t="s">
        <v>59</v>
      </c>
      <c r="H129" s="3">
        <v>56575</v>
      </c>
      <c r="I129" s="3">
        <v>181514</v>
      </c>
      <c r="J129" s="3">
        <v>121071</v>
      </c>
      <c r="K129" s="3">
        <v>0</v>
      </c>
      <c r="L129" s="3">
        <v>0</v>
      </c>
      <c r="M129" s="3">
        <v>0</v>
      </c>
      <c r="N129" s="3">
        <v>0</v>
      </c>
      <c r="O129" s="3">
        <v>4</v>
      </c>
      <c r="P129" s="3">
        <v>241659</v>
      </c>
      <c r="Q129" s="3">
        <f t="shared" si="3"/>
        <v>600823</v>
      </c>
    </row>
    <row r="130" spans="1:17" x14ac:dyDescent="0.2">
      <c r="A130" t="s">
        <v>21</v>
      </c>
      <c r="B130" t="s">
        <v>22</v>
      </c>
      <c r="C130" t="s">
        <v>23</v>
      </c>
      <c r="D130" s="2">
        <v>1366660000000</v>
      </c>
      <c r="E130" t="s">
        <v>24</v>
      </c>
      <c r="F130" s="2">
        <v>1608040000000</v>
      </c>
      <c r="G130" t="s">
        <v>25</v>
      </c>
      <c r="H130" s="3">
        <v>56314</v>
      </c>
      <c r="I130" s="3">
        <v>129857</v>
      </c>
      <c r="J130" s="3">
        <v>113475</v>
      </c>
      <c r="K130" s="3">
        <v>0</v>
      </c>
      <c r="L130" s="3">
        <v>18</v>
      </c>
      <c r="M130" s="3">
        <v>210673</v>
      </c>
      <c r="N130" s="3">
        <v>13694</v>
      </c>
      <c r="O130" s="3">
        <v>0</v>
      </c>
      <c r="P130" s="3">
        <v>139027</v>
      </c>
      <c r="Q130" s="3">
        <f t="shared" ref="Q130:Q161" si="4">SUM(H130:P130)</f>
        <v>663058</v>
      </c>
    </row>
    <row r="131" spans="1:17" x14ac:dyDescent="0.2">
      <c r="A131" t="s">
        <v>231</v>
      </c>
      <c r="B131" t="s">
        <v>232</v>
      </c>
      <c r="C131" t="s">
        <v>233</v>
      </c>
      <c r="D131" s="2">
        <v>1445280000000</v>
      </c>
      <c r="E131" t="s">
        <v>234</v>
      </c>
      <c r="F131" s="2">
        <v>1613060000000</v>
      </c>
      <c r="G131" t="s">
        <v>185</v>
      </c>
      <c r="H131" s="3">
        <v>53149</v>
      </c>
      <c r="I131" s="3">
        <v>95024</v>
      </c>
      <c r="J131" s="3">
        <v>93906</v>
      </c>
      <c r="K131" s="3">
        <v>0</v>
      </c>
      <c r="L131" s="3">
        <v>12</v>
      </c>
      <c r="M131" s="3">
        <v>47501</v>
      </c>
      <c r="N131" s="3">
        <v>10789</v>
      </c>
      <c r="O131" s="3">
        <v>1154</v>
      </c>
      <c r="P131" s="3">
        <v>213252</v>
      </c>
      <c r="Q131" s="3">
        <f t="shared" si="4"/>
        <v>514787</v>
      </c>
    </row>
    <row r="132" spans="1:17" x14ac:dyDescent="0.2">
      <c r="A132" s="1" t="s">
        <v>743</v>
      </c>
      <c r="B132" t="s">
        <v>744</v>
      </c>
      <c r="C132" t="s">
        <v>745</v>
      </c>
      <c r="D132" s="2">
        <v>1580750000000</v>
      </c>
      <c r="E132" t="s">
        <v>442</v>
      </c>
      <c r="F132" s="2">
        <v>1611720000000</v>
      </c>
      <c r="G132" t="s">
        <v>590</v>
      </c>
      <c r="H132" s="3">
        <v>53044</v>
      </c>
      <c r="I132" s="3">
        <v>190030</v>
      </c>
      <c r="J132" s="3">
        <v>1102</v>
      </c>
      <c r="K132" s="3">
        <v>0</v>
      </c>
      <c r="L132" s="3">
        <v>0</v>
      </c>
      <c r="M132" s="3">
        <v>0</v>
      </c>
      <c r="N132" s="3">
        <v>24</v>
      </c>
      <c r="O132" s="3">
        <v>0</v>
      </c>
      <c r="P132" s="3">
        <v>154099</v>
      </c>
      <c r="Q132" s="3">
        <f t="shared" si="4"/>
        <v>398299</v>
      </c>
    </row>
    <row r="133" spans="1:17" x14ac:dyDescent="0.2">
      <c r="A133" t="s">
        <v>709</v>
      </c>
      <c r="B133" t="s">
        <v>710</v>
      </c>
      <c r="C133" t="s">
        <v>711</v>
      </c>
      <c r="D133" s="2">
        <v>1557150000000</v>
      </c>
      <c r="E133" t="s">
        <v>712</v>
      </c>
      <c r="F133" s="2">
        <v>1617200000000</v>
      </c>
      <c r="G133" t="s">
        <v>713</v>
      </c>
      <c r="H133" s="3">
        <v>52036</v>
      </c>
      <c r="I133" s="3">
        <v>322416</v>
      </c>
      <c r="J133" s="3">
        <v>208650</v>
      </c>
      <c r="K133" s="3">
        <v>0</v>
      </c>
      <c r="L133" s="3">
        <v>1416</v>
      </c>
      <c r="M133" s="3">
        <v>324286</v>
      </c>
      <c r="N133" s="3">
        <v>0</v>
      </c>
      <c r="O133" s="3">
        <v>94523</v>
      </c>
      <c r="P133" s="3">
        <v>91635</v>
      </c>
      <c r="Q133" s="3">
        <f t="shared" si="4"/>
        <v>1094962</v>
      </c>
    </row>
    <row r="134" spans="1:17" x14ac:dyDescent="0.2">
      <c r="A134" t="s">
        <v>199</v>
      </c>
      <c r="B134" t="s">
        <v>200</v>
      </c>
      <c r="C134" t="s">
        <v>201</v>
      </c>
      <c r="D134" s="2">
        <v>1480560000000</v>
      </c>
      <c r="E134" t="s">
        <v>202</v>
      </c>
      <c r="F134" s="2">
        <v>1617390000000</v>
      </c>
      <c r="G134" t="s">
        <v>203</v>
      </c>
      <c r="H134" s="3">
        <v>49936</v>
      </c>
      <c r="I134" s="3">
        <v>63452</v>
      </c>
      <c r="J134" s="3">
        <v>197263</v>
      </c>
      <c r="K134" s="3">
        <v>0</v>
      </c>
      <c r="L134" s="3">
        <v>219</v>
      </c>
      <c r="M134" s="3">
        <v>320616</v>
      </c>
      <c r="N134" s="3">
        <v>22947</v>
      </c>
      <c r="O134" s="3">
        <v>298</v>
      </c>
      <c r="P134" s="3">
        <v>66787</v>
      </c>
      <c r="Q134" s="3">
        <f t="shared" si="4"/>
        <v>721518</v>
      </c>
    </row>
    <row r="135" spans="1:17" x14ac:dyDescent="0.2">
      <c r="A135" t="s">
        <v>397</v>
      </c>
      <c r="B135" t="s">
        <v>398</v>
      </c>
      <c r="C135" t="s">
        <v>399</v>
      </c>
      <c r="D135" s="2">
        <v>1366660000000</v>
      </c>
      <c r="E135" t="s">
        <v>400</v>
      </c>
      <c r="F135" s="2">
        <v>1608210000000</v>
      </c>
      <c r="G135" t="s">
        <v>68</v>
      </c>
      <c r="H135" s="3">
        <v>49377</v>
      </c>
      <c r="I135" s="3">
        <v>77888</v>
      </c>
      <c r="J135" s="3">
        <v>51627</v>
      </c>
      <c r="K135" s="3">
        <v>0</v>
      </c>
      <c r="L135" s="3">
        <v>3</v>
      </c>
      <c r="M135" s="3">
        <v>112584</v>
      </c>
      <c r="N135" s="3">
        <v>7102</v>
      </c>
      <c r="O135" s="3">
        <v>4695</v>
      </c>
      <c r="P135" s="3">
        <v>78794</v>
      </c>
      <c r="Q135" s="3">
        <f t="shared" si="4"/>
        <v>382070</v>
      </c>
    </row>
    <row r="136" spans="1:17" x14ac:dyDescent="0.2">
      <c r="A136" t="s">
        <v>688</v>
      </c>
      <c r="B136" t="s">
        <v>689</v>
      </c>
      <c r="C136" t="s">
        <v>690</v>
      </c>
      <c r="D136" s="2">
        <v>1584390000000</v>
      </c>
      <c r="E136" t="s">
        <v>691</v>
      </c>
      <c r="F136" s="2">
        <v>1616780000000</v>
      </c>
      <c r="H136" s="3">
        <v>46303</v>
      </c>
      <c r="I136" s="3">
        <v>177552</v>
      </c>
      <c r="J136" s="3">
        <v>180992</v>
      </c>
      <c r="K136" s="3">
        <v>0</v>
      </c>
      <c r="L136" s="3">
        <v>52</v>
      </c>
      <c r="M136" s="3">
        <v>314341</v>
      </c>
      <c r="N136" s="3">
        <v>4702</v>
      </c>
      <c r="O136" s="3">
        <v>195998</v>
      </c>
      <c r="P136" s="3">
        <v>190624</v>
      </c>
      <c r="Q136" s="3">
        <f t="shared" si="4"/>
        <v>1110564</v>
      </c>
    </row>
    <row r="137" spans="1:17" x14ac:dyDescent="0.2">
      <c r="A137" t="s">
        <v>674</v>
      </c>
      <c r="B137" t="s">
        <v>675</v>
      </c>
      <c r="C137" t="s">
        <v>676</v>
      </c>
      <c r="D137" s="2">
        <v>1582130000000</v>
      </c>
      <c r="E137" t="s">
        <v>677</v>
      </c>
      <c r="F137" s="2">
        <v>1616710000000</v>
      </c>
      <c r="G137" t="s">
        <v>678</v>
      </c>
      <c r="H137" s="3">
        <v>46104</v>
      </c>
      <c r="I137" s="3">
        <v>73951</v>
      </c>
      <c r="J137" s="3">
        <v>2090</v>
      </c>
      <c r="K137" s="3">
        <v>0</v>
      </c>
      <c r="L137" s="3">
        <v>0</v>
      </c>
      <c r="M137" s="3">
        <v>0</v>
      </c>
      <c r="N137" s="3">
        <v>45</v>
      </c>
      <c r="O137" s="3">
        <v>0</v>
      </c>
      <c r="P137" s="3">
        <v>105942</v>
      </c>
      <c r="Q137" s="3">
        <f t="shared" si="4"/>
        <v>228132</v>
      </c>
    </row>
    <row r="138" spans="1:17" x14ac:dyDescent="0.2">
      <c r="A138" t="s">
        <v>642</v>
      </c>
      <c r="B138" t="s">
        <v>643</v>
      </c>
      <c r="C138" t="s">
        <v>644</v>
      </c>
      <c r="D138" s="2">
        <v>1570140000000</v>
      </c>
      <c r="E138" t="s">
        <v>645</v>
      </c>
      <c r="F138" s="2">
        <v>1614960000000</v>
      </c>
      <c r="G138" t="s">
        <v>646</v>
      </c>
      <c r="H138" s="3">
        <v>42308</v>
      </c>
      <c r="I138" s="3">
        <v>240829</v>
      </c>
      <c r="J138" s="3">
        <v>139383</v>
      </c>
      <c r="K138" s="3">
        <v>0</v>
      </c>
      <c r="L138" s="3">
        <v>230</v>
      </c>
      <c r="M138" s="3">
        <v>509461</v>
      </c>
      <c r="N138" s="3">
        <v>48959</v>
      </c>
      <c r="O138" s="3">
        <v>130872</v>
      </c>
      <c r="P138" s="3">
        <v>240892</v>
      </c>
      <c r="Q138" s="3">
        <f t="shared" si="4"/>
        <v>1352934</v>
      </c>
    </row>
    <row r="139" spans="1:17" x14ac:dyDescent="0.2">
      <c r="A139" t="s">
        <v>714</v>
      </c>
      <c r="B139" t="s">
        <v>715</v>
      </c>
      <c r="C139" t="s">
        <v>716</v>
      </c>
      <c r="D139" s="2">
        <v>1563370000000</v>
      </c>
      <c r="E139" t="s">
        <v>717</v>
      </c>
      <c r="F139" s="2">
        <v>1615830000000</v>
      </c>
      <c r="G139" t="s">
        <v>149</v>
      </c>
      <c r="H139" s="3">
        <v>40305</v>
      </c>
      <c r="I139" s="3">
        <v>44433</v>
      </c>
      <c r="J139" s="3">
        <v>35716</v>
      </c>
      <c r="K139" s="3">
        <v>0</v>
      </c>
      <c r="L139" s="3">
        <v>0</v>
      </c>
      <c r="M139" s="3">
        <v>0</v>
      </c>
      <c r="N139" s="3">
        <v>2168</v>
      </c>
      <c r="O139" s="3">
        <v>0</v>
      </c>
      <c r="P139" s="3">
        <v>126422</v>
      </c>
      <c r="Q139" s="3">
        <f t="shared" si="4"/>
        <v>249044</v>
      </c>
    </row>
    <row r="140" spans="1:17" x14ac:dyDescent="0.2">
      <c r="A140" t="s">
        <v>222</v>
      </c>
      <c r="B140" t="s">
        <v>223</v>
      </c>
      <c r="C140" t="s">
        <v>224</v>
      </c>
      <c r="D140" s="2">
        <v>1437530000000</v>
      </c>
      <c r="E140" t="s">
        <v>225</v>
      </c>
      <c r="F140" s="2">
        <v>1616010000000</v>
      </c>
      <c r="G140" t="s">
        <v>226</v>
      </c>
      <c r="H140" s="3">
        <v>34991</v>
      </c>
      <c r="I140" s="3">
        <v>159372</v>
      </c>
      <c r="J140" s="3">
        <v>153550</v>
      </c>
      <c r="K140" s="3">
        <v>0</v>
      </c>
      <c r="L140" s="3">
        <v>937</v>
      </c>
      <c r="M140" s="3">
        <v>385667</v>
      </c>
      <c r="N140" s="3">
        <v>70876</v>
      </c>
      <c r="O140" s="3">
        <v>5610</v>
      </c>
      <c r="P140" s="3">
        <v>208174</v>
      </c>
      <c r="Q140" s="3">
        <f t="shared" si="4"/>
        <v>1019177</v>
      </c>
    </row>
    <row r="141" spans="1:17" x14ac:dyDescent="0.2">
      <c r="A141" t="s">
        <v>821</v>
      </c>
      <c r="B141" t="s">
        <v>822</v>
      </c>
      <c r="C141" t="s">
        <v>823</v>
      </c>
      <c r="D141" s="2">
        <v>1598900000000</v>
      </c>
      <c r="E141" t="s">
        <v>824</v>
      </c>
      <c r="F141" s="2">
        <v>1617730000000</v>
      </c>
      <c r="H141" s="3">
        <v>34786</v>
      </c>
      <c r="I141" s="3">
        <v>223562</v>
      </c>
      <c r="J141" s="3">
        <v>175502</v>
      </c>
      <c r="K141" s="3">
        <v>0</v>
      </c>
      <c r="L141" s="3">
        <v>11800</v>
      </c>
      <c r="M141" s="3">
        <v>239277</v>
      </c>
      <c r="N141" s="3">
        <v>0</v>
      </c>
      <c r="O141" s="3">
        <v>163543</v>
      </c>
      <c r="P141" s="3">
        <v>261314</v>
      </c>
      <c r="Q141" s="3">
        <f t="shared" si="4"/>
        <v>1109784</v>
      </c>
    </row>
    <row r="142" spans="1:17" x14ac:dyDescent="0.2">
      <c r="A142" t="s">
        <v>722</v>
      </c>
      <c r="B142" t="s">
        <v>723</v>
      </c>
      <c r="C142" t="s">
        <v>724</v>
      </c>
      <c r="D142" s="2">
        <v>1574280000000</v>
      </c>
      <c r="E142" t="s">
        <v>725</v>
      </c>
      <c r="F142" s="2">
        <v>1616020000000</v>
      </c>
      <c r="G142" t="s">
        <v>726</v>
      </c>
      <c r="H142" s="3">
        <v>28570</v>
      </c>
      <c r="I142" s="3">
        <v>63828</v>
      </c>
      <c r="J142" s="3">
        <v>284</v>
      </c>
      <c r="K142" s="3">
        <v>0</v>
      </c>
      <c r="L142" s="3">
        <v>0</v>
      </c>
      <c r="M142" s="3">
        <v>0</v>
      </c>
      <c r="N142" s="3">
        <v>24</v>
      </c>
      <c r="O142" s="3">
        <v>0</v>
      </c>
      <c r="P142" s="3">
        <v>115252</v>
      </c>
      <c r="Q142" s="3">
        <f t="shared" si="4"/>
        <v>207958</v>
      </c>
    </row>
    <row r="143" spans="1:17" x14ac:dyDescent="0.2">
      <c r="A143" t="s">
        <v>766</v>
      </c>
      <c r="B143" t="s">
        <v>767</v>
      </c>
      <c r="C143" t="s">
        <v>768</v>
      </c>
      <c r="D143" s="2">
        <v>1559150000000</v>
      </c>
      <c r="E143" t="s">
        <v>769</v>
      </c>
      <c r="F143" s="2">
        <v>1611090000000</v>
      </c>
      <c r="G143" t="s">
        <v>89</v>
      </c>
      <c r="H143" s="3">
        <v>28474</v>
      </c>
      <c r="I143" s="3">
        <v>40292</v>
      </c>
      <c r="J143" s="3">
        <v>49183</v>
      </c>
      <c r="K143" s="3">
        <v>0</v>
      </c>
      <c r="L143" s="3">
        <v>1163</v>
      </c>
      <c r="M143" s="3">
        <v>93659</v>
      </c>
      <c r="N143" s="3">
        <v>22242</v>
      </c>
      <c r="O143" s="3">
        <v>23100</v>
      </c>
      <c r="P143" s="3">
        <v>40394</v>
      </c>
      <c r="Q143" s="3">
        <f t="shared" si="4"/>
        <v>298507</v>
      </c>
    </row>
    <row r="144" spans="1:17" x14ac:dyDescent="0.2">
      <c r="A144" t="s">
        <v>554</v>
      </c>
      <c r="B144" t="s">
        <v>555</v>
      </c>
      <c r="C144" t="s">
        <v>556</v>
      </c>
      <c r="D144" s="2">
        <v>1465820000000</v>
      </c>
      <c r="E144" t="s">
        <v>557</v>
      </c>
      <c r="F144" s="2">
        <v>1608210000000</v>
      </c>
      <c r="G144" t="s">
        <v>68</v>
      </c>
      <c r="H144" s="3">
        <v>26883</v>
      </c>
      <c r="I144" s="3">
        <v>78381</v>
      </c>
      <c r="J144" s="3">
        <v>73780</v>
      </c>
      <c r="K144" s="3">
        <v>0</v>
      </c>
      <c r="L144" s="3">
        <v>222</v>
      </c>
      <c r="M144" s="3">
        <v>255471</v>
      </c>
      <c r="N144" s="3">
        <v>3432</v>
      </c>
      <c r="O144" s="3">
        <v>9447</v>
      </c>
      <c r="P144" s="3">
        <v>78387</v>
      </c>
      <c r="Q144" s="3">
        <f t="shared" si="4"/>
        <v>526003</v>
      </c>
    </row>
    <row r="145" spans="1:17" x14ac:dyDescent="0.2">
      <c r="A145" t="s">
        <v>430</v>
      </c>
      <c r="B145" t="s">
        <v>431</v>
      </c>
      <c r="C145" t="s">
        <v>432</v>
      </c>
      <c r="D145" s="2">
        <v>1513710000000</v>
      </c>
      <c r="E145" t="s">
        <v>433</v>
      </c>
      <c r="F145" s="2">
        <v>1619300000000</v>
      </c>
      <c r="G145" t="s">
        <v>434</v>
      </c>
      <c r="H145" s="3">
        <v>25436</v>
      </c>
      <c r="I145" s="3">
        <v>45510</v>
      </c>
      <c r="J145" s="3">
        <v>91063</v>
      </c>
      <c r="K145" s="3">
        <v>0</v>
      </c>
      <c r="L145" s="3">
        <v>258</v>
      </c>
      <c r="M145" s="3">
        <v>183183</v>
      </c>
      <c r="N145" s="3">
        <v>33156</v>
      </c>
      <c r="O145" s="3">
        <v>0</v>
      </c>
      <c r="P145" s="3">
        <v>48824</v>
      </c>
      <c r="Q145" s="3">
        <f t="shared" si="4"/>
        <v>427430</v>
      </c>
    </row>
    <row r="146" spans="1:17" x14ac:dyDescent="0.2">
      <c r="A146" t="s">
        <v>285</v>
      </c>
      <c r="B146" t="s">
        <v>286</v>
      </c>
      <c r="C146" t="s">
        <v>287</v>
      </c>
      <c r="D146" s="2">
        <v>1501090000000</v>
      </c>
      <c r="E146" t="s">
        <v>288</v>
      </c>
      <c r="F146" s="2">
        <v>1616190000000</v>
      </c>
      <c r="G146" t="s">
        <v>89</v>
      </c>
      <c r="H146" s="3">
        <v>24712</v>
      </c>
      <c r="I146" s="3">
        <v>38483</v>
      </c>
      <c r="J146" s="3">
        <v>37050</v>
      </c>
      <c r="K146" s="3">
        <v>0</v>
      </c>
      <c r="L146" s="3">
        <v>468</v>
      </c>
      <c r="M146" s="3">
        <v>87069</v>
      </c>
      <c r="N146" s="3">
        <v>4939</v>
      </c>
      <c r="O146" s="3">
        <v>8329</v>
      </c>
      <c r="P146" s="3">
        <v>38483</v>
      </c>
      <c r="Q146" s="3">
        <f t="shared" si="4"/>
        <v>239533</v>
      </c>
    </row>
    <row r="147" spans="1:17" x14ac:dyDescent="0.2">
      <c r="A147" t="s">
        <v>812</v>
      </c>
      <c r="B147" t="s">
        <v>813</v>
      </c>
      <c r="C147" t="s">
        <v>814</v>
      </c>
      <c r="D147" s="2">
        <v>1577980000000</v>
      </c>
      <c r="E147" t="s">
        <v>815</v>
      </c>
      <c r="F147" s="2">
        <v>1614960000000</v>
      </c>
      <c r="G147" t="s">
        <v>816</v>
      </c>
      <c r="H147" s="3">
        <v>23288</v>
      </c>
      <c r="I147" s="3">
        <v>90234</v>
      </c>
      <c r="J147" s="3">
        <v>6196</v>
      </c>
      <c r="K147" s="3">
        <v>0</v>
      </c>
      <c r="L147" s="3">
        <v>0</v>
      </c>
      <c r="M147" s="3">
        <v>0</v>
      </c>
      <c r="N147" s="3">
        <v>150</v>
      </c>
      <c r="O147" s="3">
        <v>15781</v>
      </c>
      <c r="P147" s="3">
        <v>140302</v>
      </c>
      <c r="Q147" s="3">
        <f t="shared" si="4"/>
        <v>275951</v>
      </c>
    </row>
    <row r="148" spans="1:17" x14ac:dyDescent="0.2">
      <c r="A148" t="s">
        <v>45</v>
      </c>
      <c r="B148" t="s">
        <v>46</v>
      </c>
      <c r="C148" t="s">
        <v>47</v>
      </c>
      <c r="D148" s="2">
        <v>1506020000000</v>
      </c>
      <c r="E148" t="s">
        <v>48</v>
      </c>
      <c r="F148" s="2">
        <v>1609780000000</v>
      </c>
      <c r="G148" t="s">
        <v>49</v>
      </c>
      <c r="H148" s="3">
        <v>20775</v>
      </c>
      <c r="I148" s="3">
        <v>23098</v>
      </c>
      <c r="J148" s="3">
        <v>22465</v>
      </c>
      <c r="K148" s="3">
        <v>0</v>
      </c>
      <c r="L148" s="3">
        <v>35</v>
      </c>
      <c r="M148" s="3">
        <v>38861</v>
      </c>
      <c r="N148" s="3">
        <v>911</v>
      </c>
      <c r="O148" s="3">
        <v>4740</v>
      </c>
      <c r="P148" s="3">
        <v>23098</v>
      </c>
      <c r="Q148" s="3">
        <f t="shared" si="4"/>
        <v>133983</v>
      </c>
    </row>
    <row r="149" spans="1:17" x14ac:dyDescent="0.2">
      <c r="A149" t="s">
        <v>778</v>
      </c>
      <c r="B149" t="s">
        <v>779</v>
      </c>
      <c r="C149" t="s">
        <v>780</v>
      </c>
      <c r="D149" s="2">
        <v>1593610000000</v>
      </c>
      <c r="E149" t="s">
        <v>781</v>
      </c>
      <c r="F149" s="2">
        <v>1614280000000</v>
      </c>
      <c r="H149" s="3">
        <v>16511</v>
      </c>
      <c r="I149" s="3">
        <v>17057</v>
      </c>
      <c r="J149" s="3">
        <v>45606</v>
      </c>
      <c r="K149" s="3">
        <v>0</v>
      </c>
      <c r="L149" s="3">
        <v>163</v>
      </c>
      <c r="M149" s="3">
        <v>98761</v>
      </c>
      <c r="N149" s="3">
        <v>1249</v>
      </c>
      <c r="O149" s="3">
        <v>15277</v>
      </c>
      <c r="P149" s="3">
        <v>17056</v>
      </c>
      <c r="Q149" s="3">
        <f t="shared" si="4"/>
        <v>211680</v>
      </c>
    </row>
    <row r="150" spans="1:17" x14ac:dyDescent="0.2">
      <c r="A150" t="s">
        <v>370</v>
      </c>
      <c r="B150" t="s">
        <v>371</v>
      </c>
      <c r="C150" t="s">
        <v>372</v>
      </c>
      <c r="D150" s="2">
        <v>1471360000000</v>
      </c>
      <c r="E150" t="s">
        <v>373</v>
      </c>
      <c r="F150" s="2">
        <v>1617740000000</v>
      </c>
      <c r="G150" t="s">
        <v>68</v>
      </c>
      <c r="H150" s="3">
        <v>14624</v>
      </c>
      <c r="I150" s="3">
        <v>24425</v>
      </c>
      <c r="J150" s="3">
        <v>12185</v>
      </c>
      <c r="K150" s="3">
        <v>0</v>
      </c>
      <c r="L150" s="3">
        <v>11</v>
      </c>
      <c r="M150" s="3">
        <v>29495</v>
      </c>
      <c r="N150" s="3">
        <v>1703</v>
      </c>
      <c r="O150" s="3">
        <v>1122</v>
      </c>
      <c r="P150" s="3">
        <v>24427</v>
      </c>
      <c r="Q150" s="3">
        <f t="shared" si="4"/>
        <v>107992</v>
      </c>
    </row>
    <row r="151" spans="1:17" x14ac:dyDescent="0.2">
      <c r="A151" t="s">
        <v>558</v>
      </c>
      <c r="B151" t="s">
        <v>559</v>
      </c>
      <c r="C151" t="s">
        <v>560</v>
      </c>
      <c r="D151" s="2">
        <v>1471300000000</v>
      </c>
      <c r="E151" t="s">
        <v>561</v>
      </c>
      <c r="F151" s="2">
        <v>1615240000000</v>
      </c>
      <c r="G151" t="s">
        <v>68</v>
      </c>
      <c r="H151" s="3">
        <v>11505</v>
      </c>
      <c r="I151" s="3">
        <v>18948</v>
      </c>
      <c r="J151" s="3">
        <v>12713</v>
      </c>
      <c r="K151" s="3">
        <v>0</v>
      </c>
      <c r="L151" s="3">
        <v>12</v>
      </c>
      <c r="M151" s="3">
        <v>34394</v>
      </c>
      <c r="N151" s="3">
        <v>1390</v>
      </c>
      <c r="O151" s="3">
        <v>2011</v>
      </c>
      <c r="P151" s="3">
        <v>19049</v>
      </c>
      <c r="Q151" s="3">
        <f t="shared" si="4"/>
        <v>100022</v>
      </c>
    </row>
    <row r="152" spans="1:17" x14ac:dyDescent="0.2">
      <c r="A152" t="s">
        <v>638</v>
      </c>
      <c r="B152" t="s">
        <v>639</v>
      </c>
      <c r="C152" t="s">
        <v>640</v>
      </c>
      <c r="D152" s="2">
        <v>1564060000000</v>
      </c>
      <c r="E152" t="s">
        <v>641</v>
      </c>
      <c r="F152" s="2">
        <v>1615790000000</v>
      </c>
      <c r="G152" t="s">
        <v>167</v>
      </c>
      <c r="H152" s="3">
        <v>10363</v>
      </c>
      <c r="I152" s="3">
        <v>18150</v>
      </c>
      <c r="J152" s="3">
        <v>20826</v>
      </c>
      <c r="K152" s="3">
        <v>0</v>
      </c>
      <c r="L152" s="3">
        <v>392</v>
      </c>
      <c r="M152" s="3">
        <v>54514</v>
      </c>
      <c r="N152" s="3">
        <v>10974</v>
      </c>
      <c r="O152" s="3">
        <v>81</v>
      </c>
      <c r="P152" s="3">
        <v>20405</v>
      </c>
      <c r="Q152" s="3">
        <f t="shared" si="4"/>
        <v>135705</v>
      </c>
    </row>
    <row r="153" spans="1:17" x14ac:dyDescent="0.2">
      <c r="A153" t="s">
        <v>131</v>
      </c>
      <c r="B153" t="s">
        <v>132</v>
      </c>
      <c r="C153" t="s">
        <v>133</v>
      </c>
      <c r="D153" s="2">
        <v>1370270000000</v>
      </c>
      <c r="E153" t="s">
        <v>134</v>
      </c>
      <c r="F153" s="2">
        <v>1608040000000</v>
      </c>
      <c r="G153" t="s">
        <v>68</v>
      </c>
      <c r="H153" s="3">
        <v>10355</v>
      </c>
      <c r="I153" s="3">
        <v>16519</v>
      </c>
      <c r="J153" s="3">
        <v>15998</v>
      </c>
      <c r="K153" s="3">
        <v>0</v>
      </c>
      <c r="L153" s="3">
        <v>2</v>
      </c>
      <c r="M153" s="3">
        <v>47026</v>
      </c>
      <c r="N153" s="3">
        <v>2056</v>
      </c>
      <c r="O153" s="3">
        <v>0</v>
      </c>
      <c r="P153" s="3">
        <v>16519</v>
      </c>
      <c r="Q153" s="3">
        <f t="shared" si="4"/>
        <v>108475</v>
      </c>
    </row>
    <row r="154" spans="1:17" x14ac:dyDescent="0.2">
      <c r="A154" t="s">
        <v>248</v>
      </c>
      <c r="B154" t="s">
        <v>249</v>
      </c>
      <c r="C154" t="s">
        <v>250</v>
      </c>
      <c r="D154" s="2">
        <v>1527180000000</v>
      </c>
      <c r="E154" t="s">
        <v>251</v>
      </c>
      <c r="F154" s="2">
        <v>1612230000000</v>
      </c>
      <c r="G154" t="s">
        <v>252</v>
      </c>
      <c r="H154" s="3">
        <v>7843</v>
      </c>
      <c r="I154" s="3">
        <v>5632</v>
      </c>
      <c r="J154" s="3">
        <v>6460</v>
      </c>
      <c r="K154" s="3">
        <v>0</v>
      </c>
      <c r="L154" s="3">
        <v>3</v>
      </c>
      <c r="M154" s="3">
        <v>7597</v>
      </c>
      <c r="N154" s="3">
        <v>233</v>
      </c>
      <c r="O154" s="3">
        <v>6522</v>
      </c>
      <c r="P154" s="3">
        <v>7614</v>
      </c>
      <c r="Q154" s="3">
        <f t="shared" si="4"/>
        <v>41904</v>
      </c>
    </row>
    <row r="155" spans="1:17" x14ac:dyDescent="0.2">
      <c r="A155" t="s">
        <v>567</v>
      </c>
      <c r="B155" t="s">
        <v>568</v>
      </c>
      <c r="C155" t="s">
        <v>569</v>
      </c>
      <c r="D155" s="2">
        <v>1537200000000</v>
      </c>
      <c r="E155" t="s">
        <v>570</v>
      </c>
      <c r="F155" s="2">
        <v>1618570000000</v>
      </c>
      <c r="G155" t="s">
        <v>571</v>
      </c>
      <c r="H155" s="3">
        <v>7172</v>
      </c>
      <c r="I155" s="3">
        <v>9761</v>
      </c>
      <c r="J155" s="3">
        <v>47646</v>
      </c>
      <c r="K155" s="3">
        <v>0</v>
      </c>
      <c r="L155" s="3">
        <v>3110</v>
      </c>
      <c r="M155" s="3">
        <v>121124</v>
      </c>
      <c r="N155" s="3">
        <v>29571</v>
      </c>
      <c r="O155" s="3">
        <v>7896</v>
      </c>
      <c r="P155" s="3">
        <v>16011</v>
      </c>
      <c r="Q155" s="3">
        <f t="shared" si="4"/>
        <v>242291</v>
      </c>
    </row>
    <row r="156" spans="1:17" x14ac:dyDescent="0.2">
      <c r="A156" t="s">
        <v>817</v>
      </c>
      <c r="B156" t="s">
        <v>818</v>
      </c>
      <c r="C156" t="s">
        <v>819</v>
      </c>
      <c r="D156" s="2">
        <v>1593460000000</v>
      </c>
      <c r="E156" t="s">
        <v>820</v>
      </c>
      <c r="F156" s="2">
        <v>1608210000000</v>
      </c>
      <c r="H156" s="3">
        <v>6107</v>
      </c>
      <c r="I156" s="3">
        <v>8380</v>
      </c>
      <c r="J156" s="3">
        <v>3456</v>
      </c>
      <c r="K156" s="3">
        <v>0</v>
      </c>
      <c r="L156" s="3">
        <v>1</v>
      </c>
      <c r="M156" s="3">
        <v>8163</v>
      </c>
      <c r="N156" s="3">
        <v>718</v>
      </c>
      <c r="O156" s="3">
        <v>4481</v>
      </c>
      <c r="P156" s="3">
        <v>9132</v>
      </c>
      <c r="Q156" s="3">
        <f t="shared" si="4"/>
        <v>40438</v>
      </c>
    </row>
    <row r="157" spans="1:17" x14ac:dyDescent="0.2">
      <c r="A157" t="s">
        <v>629</v>
      </c>
      <c r="B157" t="s">
        <v>630</v>
      </c>
      <c r="C157" t="s">
        <v>631</v>
      </c>
      <c r="D157" s="2">
        <v>1606850000000</v>
      </c>
      <c r="E157" t="s">
        <v>632</v>
      </c>
      <c r="F157" s="2">
        <v>1614960000000</v>
      </c>
      <c r="G157" t="s">
        <v>633</v>
      </c>
      <c r="H157" s="3">
        <v>4474</v>
      </c>
      <c r="I157" s="3">
        <v>9920</v>
      </c>
      <c r="J157" s="3">
        <v>2347</v>
      </c>
      <c r="K157" s="3">
        <v>0</v>
      </c>
      <c r="L157" s="3">
        <v>4</v>
      </c>
      <c r="M157" s="3">
        <v>4842</v>
      </c>
      <c r="N157" s="3">
        <v>552</v>
      </c>
      <c r="O157" s="3">
        <v>2796</v>
      </c>
      <c r="P157" s="3">
        <v>18162</v>
      </c>
      <c r="Q157" s="3">
        <f t="shared" si="4"/>
        <v>43097</v>
      </c>
    </row>
    <row r="158" spans="1:17" x14ac:dyDescent="0.2">
      <c r="A158" t="s">
        <v>762</v>
      </c>
      <c r="B158" t="s">
        <v>763</v>
      </c>
      <c r="C158" t="s">
        <v>764</v>
      </c>
      <c r="D158" s="2">
        <v>1554910000000</v>
      </c>
      <c r="E158" t="s">
        <v>765</v>
      </c>
      <c r="F158" s="2">
        <v>1616170000000</v>
      </c>
      <c r="G158" t="s">
        <v>89</v>
      </c>
      <c r="H158" s="3">
        <v>4185</v>
      </c>
      <c r="I158" s="3">
        <v>8307</v>
      </c>
      <c r="J158" s="3">
        <v>1824</v>
      </c>
      <c r="K158" s="3">
        <v>0</v>
      </c>
      <c r="L158" s="3">
        <v>12</v>
      </c>
      <c r="M158" s="3">
        <v>6106</v>
      </c>
      <c r="N158" s="3">
        <v>1392</v>
      </c>
      <c r="O158" s="3">
        <v>1019</v>
      </c>
      <c r="P158" s="3">
        <v>8699</v>
      </c>
      <c r="Q158" s="3">
        <f t="shared" si="4"/>
        <v>31544</v>
      </c>
    </row>
    <row r="159" spans="1:17" x14ac:dyDescent="0.2">
      <c r="A159" t="s">
        <v>454</v>
      </c>
      <c r="B159" t="s">
        <v>455</v>
      </c>
      <c r="C159" t="s">
        <v>456</v>
      </c>
      <c r="D159" s="2">
        <v>1534960000000</v>
      </c>
      <c r="E159" t="s">
        <v>457</v>
      </c>
      <c r="F159" s="2">
        <v>1608040000000</v>
      </c>
      <c r="G159" t="s">
        <v>167</v>
      </c>
      <c r="H159" s="3">
        <v>3739</v>
      </c>
      <c r="I159" s="3">
        <v>4336</v>
      </c>
      <c r="J159" s="3">
        <v>2955</v>
      </c>
      <c r="K159" s="3">
        <v>0</v>
      </c>
      <c r="L159" s="3">
        <v>1</v>
      </c>
      <c r="M159" s="3">
        <v>5309</v>
      </c>
      <c r="N159" s="3">
        <v>348</v>
      </c>
      <c r="O159" s="3">
        <v>0</v>
      </c>
      <c r="P159" s="3">
        <v>4524</v>
      </c>
      <c r="Q159" s="3">
        <f t="shared" si="4"/>
        <v>21212</v>
      </c>
    </row>
    <row r="160" spans="1:17" x14ac:dyDescent="0.2">
      <c r="A160" t="s">
        <v>669</v>
      </c>
      <c r="B160" t="s">
        <v>670</v>
      </c>
      <c r="C160" t="s">
        <v>671</v>
      </c>
      <c r="D160" s="2">
        <v>1540500000000</v>
      </c>
      <c r="E160" t="s">
        <v>672</v>
      </c>
      <c r="F160" s="2">
        <v>1611860000000</v>
      </c>
      <c r="G160" t="s">
        <v>673</v>
      </c>
      <c r="H160" s="3">
        <v>1920</v>
      </c>
      <c r="I160" s="3">
        <v>1956</v>
      </c>
      <c r="J160" s="3">
        <v>2822</v>
      </c>
      <c r="K160" s="3">
        <v>0</v>
      </c>
      <c r="L160" s="3">
        <v>11</v>
      </c>
      <c r="M160" s="3">
        <v>10123</v>
      </c>
      <c r="N160" s="3">
        <v>966</v>
      </c>
      <c r="O160" s="3">
        <v>598</v>
      </c>
      <c r="P160" s="3">
        <v>1956</v>
      </c>
      <c r="Q160" s="3">
        <f t="shared" si="4"/>
        <v>20352</v>
      </c>
    </row>
    <row r="161" spans="1:17" x14ac:dyDescent="0.2">
      <c r="A161" t="s">
        <v>194</v>
      </c>
      <c r="B161" t="s">
        <v>195</v>
      </c>
      <c r="C161" t="s">
        <v>196</v>
      </c>
      <c r="D161" s="2">
        <v>1470400000000</v>
      </c>
      <c r="E161" t="s">
        <v>197</v>
      </c>
      <c r="F161" s="2">
        <v>1608300000000</v>
      </c>
      <c r="G161" t="s">
        <v>198</v>
      </c>
      <c r="H161" s="3">
        <v>1793</v>
      </c>
      <c r="I161" s="3">
        <v>2573</v>
      </c>
      <c r="J161" s="3">
        <v>10085</v>
      </c>
      <c r="K161" s="3">
        <v>0</v>
      </c>
      <c r="L161" s="3">
        <v>43</v>
      </c>
      <c r="M161" s="3">
        <v>24546</v>
      </c>
      <c r="N161" s="3">
        <v>1298</v>
      </c>
      <c r="O161" s="3">
        <v>131</v>
      </c>
      <c r="P161" s="3">
        <v>2698</v>
      </c>
      <c r="Q161" s="3">
        <f t="shared" si="4"/>
        <v>43167</v>
      </c>
    </row>
    <row r="162" spans="1:17" x14ac:dyDescent="0.2">
      <c r="A162" s="1" t="s">
        <v>692</v>
      </c>
      <c r="B162" t="s">
        <v>693</v>
      </c>
      <c r="C162" t="s">
        <v>694</v>
      </c>
      <c r="D162" s="2">
        <v>1586890000000</v>
      </c>
      <c r="E162" t="s">
        <v>695</v>
      </c>
      <c r="F162" s="2">
        <v>1619720000000</v>
      </c>
      <c r="G162" t="s">
        <v>659</v>
      </c>
      <c r="H162" s="3">
        <v>1500</v>
      </c>
      <c r="I162" s="3">
        <v>1026</v>
      </c>
      <c r="J162" s="3">
        <v>438</v>
      </c>
      <c r="K162" s="3">
        <v>0</v>
      </c>
      <c r="L162" s="3">
        <v>0</v>
      </c>
      <c r="M162" s="3">
        <v>15</v>
      </c>
      <c r="N162" s="3">
        <v>0</v>
      </c>
      <c r="O162" s="3">
        <v>454</v>
      </c>
      <c r="P162" s="3">
        <v>1027</v>
      </c>
      <c r="Q162" s="3">
        <f t="shared" ref="Q162:Q193" si="5">SUM(H162:P162)</f>
        <v>4460</v>
      </c>
    </row>
    <row r="163" spans="1:17" x14ac:dyDescent="0.2">
      <c r="A163" t="s">
        <v>595</v>
      </c>
      <c r="B163" t="s">
        <v>596</v>
      </c>
      <c r="C163" t="s">
        <v>597</v>
      </c>
      <c r="D163" s="2">
        <v>1536070000000</v>
      </c>
      <c r="E163" t="s">
        <v>598</v>
      </c>
      <c r="F163" s="2">
        <v>1608170000000</v>
      </c>
      <c r="G163" t="s">
        <v>599</v>
      </c>
      <c r="H163" s="3">
        <v>1483</v>
      </c>
      <c r="I163" s="3">
        <v>1549</v>
      </c>
      <c r="J163" s="3">
        <v>1651</v>
      </c>
      <c r="K163" s="3">
        <v>0</v>
      </c>
      <c r="L163" s="3">
        <v>4</v>
      </c>
      <c r="M163" s="3">
        <v>4592</v>
      </c>
      <c r="N163" s="3">
        <v>467</v>
      </c>
      <c r="O163" s="3">
        <v>0</v>
      </c>
      <c r="P163" s="3">
        <v>1580</v>
      </c>
      <c r="Q163" s="3">
        <f t="shared" si="5"/>
        <v>11326</v>
      </c>
    </row>
    <row r="164" spans="1:17" x14ac:dyDescent="0.2">
      <c r="A164" t="s">
        <v>830</v>
      </c>
      <c r="B164" t="s">
        <v>831</v>
      </c>
      <c r="C164" t="s">
        <v>832</v>
      </c>
      <c r="D164" s="2">
        <v>1565020000000</v>
      </c>
      <c r="E164" t="s">
        <v>469</v>
      </c>
      <c r="F164" s="2">
        <v>1611720000000</v>
      </c>
      <c r="G164" t="s">
        <v>646</v>
      </c>
      <c r="H164" s="3">
        <v>1034</v>
      </c>
      <c r="I164" s="3">
        <v>1067</v>
      </c>
      <c r="J164" s="3">
        <v>1081</v>
      </c>
      <c r="K164" s="3">
        <v>0</v>
      </c>
      <c r="L164" s="3">
        <v>3</v>
      </c>
      <c r="M164" s="3">
        <v>3110</v>
      </c>
      <c r="N164" s="3">
        <v>1047</v>
      </c>
      <c r="O164" s="3">
        <v>438</v>
      </c>
      <c r="P164" s="3">
        <v>1167</v>
      </c>
      <c r="Q164" s="3">
        <f t="shared" si="5"/>
        <v>8947</v>
      </c>
    </row>
    <row r="165" spans="1:17" x14ac:dyDescent="0.2">
      <c r="A165" t="s">
        <v>684</v>
      </c>
      <c r="B165" t="s">
        <v>685</v>
      </c>
      <c r="C165" t="s">
        <v>686</v>
      </c>
      <c r="D165" s="2">
        <v>1556550000000</v>
      </c>
      <c r="E165" t="s">
        <v>687</v>
      </c>
      <c r="F165" s="2">
        <v>1602810000000</v>
      </c>
      <c r="G165" t="s">
        <v>89</v>
      </c>
      <c r="H165" s="3">
        <v>752</v>
      </c>
      <c r="I165" s="3">
        <v>817</v>
      </c>
      <c r="J165" s="3">
        <v>1779</v>
      </c>
      <c r="K165" s="3">
        <v>0</v>
      </c>
      <c r="L165" s="3">
        <v>0</v>
      </c>
      <c r="M165" s="3">
        <v>3793</v>
      </c>
      <c r="N165" s="3">
        <v>222</v>
      </c>
      <c r="O165" s="3">
        <v>180</v>
      </c>
      <c r="P165" s="3">
        <v>815</v>
      </c>
      <c r="Q165" s="3">
        <f t="shared" si="5"/>
        <v>8358</v>
      </c>
    </row>
    <row r="166" spans="1:17" x14ac:dyDescent="0.2">
      <c r="A166" t="s">
        <v>449</v>
      </c>
      <c r="B166" t="s">
        <v>450</v>
      </c>
      <c r="C166" t="s">
        <v>451</v>
      </c>
      <c r="D166" s="2">
        <v>1519760000000</v>
      </c>
      <c r="E166" t="s">
        <v>452</v>
      </c>
      <c r="F166" s="2">
        <v>1615840000000</v>
      </c>
      <c r="G166" t="s">
        <v>453</v>
      </c>
      <c r="H166" s="3">
        <v>534</v>
      </c>
      <c r="I166" s="3">
        <v>596</v>
      </c>
      <c r="J166" s="3">
        <v>2971</v>
      </c>
      <c r="K166" s="3">
        <v>0</v>
      </c>
      <c r="L166" s="3">
        <v>9</v>
      </c>
      <c r="M166" s="3">
        <v>12594</v>
      </c>
      <c r="N166" s="3">
        <v>427</v>
      </c>
      <c r="O166" s="3">
        <v>119</v>
      </c>
      <c r="P166" s="3">
        <v>600</v>
      </c>
      <c r="Q166" s="3">
        <f t="shared" si="5"/>
        <v>17850</v>
      </c>
    </row>
    <row r="167" spans="1:17" x14ac:dyDescent="0.2">
      <c r="A167" t="s">
        <v>405</v>
      </c>
      <c r="B167" t="s">
        <v>406</v>
      </c>
      <c r="C167" t="s">
        <v>407</v>
      </c>
      <c r="D167" s="2">
        <v>1474400000000</v>
      </c>
      <c r="E167" t="s">
        <v>408</v>
      </c>
      <c r="F167" s="2">
        <v>1608040000000</v>
      </c>
      <c r="G167" t="s">
        <v>54</v>
      </c>
      <c r="H167" s="3">
        <v>435</v>
      </c>
      <c r="I167" s="3">
        <v>90</v>
      </c>
      <c r="J167" s="3">
        <v>75</v>
      </c>
      <c r="K167" s="3">
        <v>0</v>
      </c>
      <c r="L167" s="3">
        <v>0</v>
      </c>
      <c r="M167" s="3">
        <v>0</v>
      </c>
      <c r="N167" s="3">
        <v>7</v>
      </c>
      <c r="O167" s="3">
        <v>0</v>
      </c>
      <c r="P167" s="3">
        <v>90</v>
      </c>
      <c r="Q167" s="3">
        <f t="shared" si="5"/>
        <v>697</v>
      </c>
    </row>
    <row r="168" spans="1:17" x14ac:dyDescent="0.2">
      <c r="A168" t="s">
        <v>731</v>
      </c>
      <c r="B168" t="s">
        <v>732</v>
      </c>
      <c r="C168" t="s">
        <v>733</v>
      </c>
      <c r="D168" s="2">
        <v>1595340000000</v>
      </c>
      <c r="E168" t="s">
        <v>734</v>
      </c>
      <c r="F168" s="2">
        <v>1619460000000</v>
      </c>
      <c r="G168" t="s">
        <v>25</v>
      </c>
      <c r="H168" s="3">
        <v>399</v>
      </c>
      <c r="I168" s="3">
        <v>22</v>
      </c>
      <c r="J168" s="3">
        <v>428</v>
      </c>
      <c r="K168" s="3">
        <v>0</v>
      </c>
      <c r="L168" s="3">
        <v>0</v>
      </c>
      <c r="M168" s="3">
        <v>866</v>
      </c>
      <c r="N168" s="3">
        <v>129</v>
      </c>
      <c r="O168" s="3">
        <v>529</v>
      </c>
      <c r="P168" s="3">
        <v>505</v>
      </c>
      <c r="Q168" s="3">
        <f t="shared" si="5"/>
        <v>2878</v>
      </c>
    </row>
    <row r="169" spans="1:17" x14ac:dyDescent="0.2">
      <c r="A169" t="s">
        <v>786</v>
      </c>
      <c r="B169" t="s">
        <v>787</v>
      </c>
      <c r="C169" t="s">
        <v>788</v>
      </c>
      <c r="D169" s="2">
        <v>1536850000000</v>
      </c>
      <c r="E169" t="s">
        <v>789</v>
      </c>
      <c r="F169" s="2">
        <v>1617640000000</v>
      </c>
      <c r="G169" t="s">
        <v>25</v>
      </c>
      <c r="H169" s="3">
        <v>316</v>
      </c>
      <c r="I169" s="3">
        <v>4281</v>
      </c>
      <c r="J169" s="3">
        <v>7616</v>
      </c>
      <c r="K169" s="3">
        <v>0</v>
      </c>
      <c r="L169" s="3">
        <v>32</v>
      </c>
      <c r="M169" s="3">
        <v>21971</v>
      </c>
      <c r="N169" s="3">
        <v>946</v>
      </c>
      <c r="O169" s="3">
        <v>1145</v>
      </c>
      <c r="P169" s="3">
        <v>4323</v>
      </c>
      <c r="Q169" s="3">
        <f t="shared" si="5"/>
        <v>40630</v>
      </c>
    </row>
    <row r="170" spans="1:17" x14ac:dyDescent="0.2">
      <c r="A170" t="s">
        <v>739</v>
      </c>
      <c r="B170" t="s">
        <v>740</v>
      </c>
      <c r="C170" t="s">
        <v>741</v>
      </c>
      <c r="D170" s="2">
        <v>1556540000000</v>
      </c>
      <c r="E170" t="s">
        <v>742</v>
      </c>
      <c r="F170" s="2">
        <v>1608040000000</v>
      </c>
      <c r="H170" s="3">
        <v>87</v>
      </c>
      <c r="I170" s="3">
        <v>85</v>
      </c>
      <c r="J170" s="3">
        <v>78</v>
      </c>
      <c r="K170" s="3">
        <v>0</v>
      </c>
      <c r="L170" s="3">
        <v>0</v>
      </c>
      <c r="M170" s="3">
        <v>106</v>
      </c>
      <c r="N170" s="3">
        <v>44</v>
      </c>
      <c r="O170" s="3">
        <v>0</v>
      </c>
      <c r="P170" s="3">
        <v>82</v>
      </c>
      <c r="Q170" s="3">
        <f t="shared" si="5"/>
        <v>482</v>
      </c>
    </row>
    <row r="171" spans="1:17" x14ac:dyDescent="0.2">
      <c r="A171" t="s">
        <v>655</v>
      </c>
      <c r="B171" t="s">
        <v>656</v>
      </c>
      <c r="C171" t="s">
        <v>657</v>
      </c>
      <c r="D171" s="2">
        <v>1608670000000</v>
      </c>
      <c r="E171" t="s">
        <v>658</v>
      </c>
      <c r="F171" s="2">
        <v>1618450000000</v>
      </c>
      <c r="G171" t="s">
        <v>659</v>
      </c>
      <c r="H171" s="3">
        <v>20</v>
      </c>
      <c r="I171" s="3">
        <v>19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20</v>
      </c>
      <c r="Q171" s="3">
        <f t="shared" si="5"/>
        <v>59</v>
      </c>
    </row>
    <row r="172" spans="1:17" x14ac:dyDescent="0.2">
      <c r="A172" t="s">
        <v>705</v>
      </c>
      <c r="B172" t="s">
        <v>706</v>
      </c>
      <c r="C172" t="s">
        <v>707</v>
      </c>
      <c r="D172" s="2">
        <v>1588030000000</v>
      </c>
      <c r="E172" t="s">
        <v>708</v>
      </c>
      <c r="F172" s="2">
        <v>1607550000000</v>
      </c>
      <c r="H172" s="3">
        <v>12</v>
      </c>
      <c r="I172" s="3">
        <v>12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12</v>
      </c>
      <c r="Q172" s="3">
        <f t="shared" si="5"/>
        <v>36</v>
      </c>
    </row>
    <row r="173" spans="1:17" x14ac:dyDescent="0.2">
      <c r="A173" t="s">
        <v>145</v>
      </c>
      <c r="B173" t="s">
        <v>146</v>
      </c>
      <c r="C173" t="s">
        <v>147</v>
      </c>
      <c r="D173" s="2">
        <v>1475080000000</v>
      </c>
      <c r="E173" t="s">
        <v>148</v>
      </c>
      <c r="F173" s="2">
        <v>1608040000000</v>
      </c>
      <c r="G173" t="s">
        <v>149</v>
      </c>
      <c r="H173" s="3">
        <v>10</v>
      </c>
      <c r="I173" s="3">
        <v>10</v>
      </c>
      <c r="J173" s="3">
        <v>11</v>
      </c>
      <c r="K173" s="3">
        <v>0</v>
      </c>
      <c r="L173" s="3">
        <v>0</v>
      </c>
      <c r="M173" s="3">
        <v>0</v>
      </c>
      <c r="N173" s="3">
        <v>15</v>
      </c>
      <c r="O173" s="3">
        <v>0</v>
      </c>
      <c r="P173" s="3">
        <v>16</v>
      </c>
      <c r="Q173" s="3">
        <f t="shared" si="5"/>
        <v>62</v>
      </c>
    </row>
    <row r="174" spans="1:17" x14ac:dyDescent="0.2">
      <c r="A174" t="s">
        <v>790</v>
      </c>
      <c r="B174" t="s">
        <v>791</v>
      </c>
      <c r="C174" t="s">
        <v>792</v>
      </c>
      <c r="D174" s="2">
        <v>1537550000000</v>
      </c>
      <c r="E174" t="s">
        <v>793</v>
      </c>
      <c r="F174" s="2">
        <v>1608040000000</v>
      </c>
      <c r="H174" s="3">
        <v>5</v>
      </c>
      <c r="I174" s="3">
        <v>5</v>
      </c>
      <c r="J174" s="3">
        <v>5</v>
      </c>
      <c r="K174" s="3">
        <v>0</v>
      </c>
      <c r="L174" s="3">
        <v>0</v>
      </c>
      <c r="M174" s="3">
        <v>5</v>
      </c>
      <c r="N174" s="3">
        <v>0</v>
      </c>
      <c r="O174" s="3">
        <v>0</v>
      </c>
      <c r="P174" s="3">
        <v>5</v>
      </c>
      <c r="Q174" s="3">
        <f t="shared" si="5"/>
        <v>25</v>
      </c>
    </row>
    <row r="175" spans="1:17" x14ac:dyDescent="0.2">
      <c r="A175" t="s">
        <v>95</v>
      </c>
      <c r="B175" t="s">
        <v>96</v>
      </c>
      <c r="C175" t="s">
        <v>97</v>
      </c>
      <c r="D175" s="2">
        <v>1534190000000</v>
      </c>
      <c r="E175" t="s">
        <v>98</v>
      </c>
      <c r="F175" s="2">
        <v>1614960000000</v>
      </c>
      <c r="G175" t="s">
        <v>99</v>
      </c>
      <c r="H175" s="3">
        <v>5</v>
      </c>
      <c r="I175" s="3">
        <v>5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4</v>
      </c>
      <c r="Q175" s="3">
        <f t="shared" si="5"/>
        <v>14</v>
      </c>
    </row>
    <row r="176" spans="1:17" x14ac:dyDescent="0.2">
      <c r="A176" t="s">
        <v>409</v>
      </c>
      <c r="B176" t="s">
        <v>410</v>
      </c>
      <c r="C176" t="s">
        <v>411</v>
      </c>
      <c r="D176" s="2">
        <v>1474480000000</v>
      </c>
      <c r="E176" t="s">
        <v>408</v>
      </c>
      <c r="F176" s="2">
        <v>1608040000000</v>
      </c>
      <c r="G176" t="s">
        <v>412</v>
      </c>
      <c r="H176" s="3">
        <v>4</v>
      </c>
      <c r="I176" s="3">
        <v>3</v>
      </c>
      <c r="J176" s="3">
        <v>13</v>
      </c>
      <c r="K176" s="3">
        <v>0</v>
      </c>
      <c r="L176" s="3">
        <v>0</v>
      </c>
      <c r="M176" s="3">
        <v>0</v>
      </c>
      <c r="N176" s="3">
        <v>12</v>
      </c>
      <c r="O176" s="3">
        <v>0</v>
      </c>
      <c r="P176" s="3">
        <v>3</v>
      </c>
      <c r="Q176" s="3">
        <f t="shared" si="5"/>
        <v>35</v>
      </c>
    </row>
    <row r="177" spans="1:17" x14ac:dyDescent="0.2">
      <c r="A177" t="s">
        <v>550</v>
      </c>
      <c r="B177" t="s">
        <v>551</v>
      </c>
      <c r="C177" t="s">
        <v>552</v>
      </c>
      <c r="D177" s="2">
        <v>1457970000000</v>
      </c>
      <c r="E177" t="s">
        <v>553</v>
      </c>
      <c r="F177" s="2">
        <v>1608040000000</v>
      </c>
      <c r="G177" t="s">
        <v>68</v>
      </c>
      <c r="H177" s="3">
        <v>4</v>
      </c>
      <c r="I177" s="3">
        <v>4</v>
      </c>
      <c r="J177" s="3">
        <v>12</v>
      </c>
      <c r="K177" s="3">
        <v>0</v>
      </c>
      <c r="L177" s="3">
        <v>0</v>
      </c>
      <c r="M177" s="3">
        <v>31</v>
      </c>
      <c r="N177" s="3">
        <v>3</v>
      </c>
      <c r="O177" s="3">
        <v>0</v>
      </c>
      <c r="P177" s="3">
        <v>4</v>
      </c>
      <c r="Q177" s="3">
        <f t="shared" si="5"/>
        <v>58</v>
      </c>
    </row>
    <row r="178" spans="1:17" x14ac:dyDescent="0.2">
      <c r="A178" t="s">
        <v>651</v>
      </c>
      <c r="B178" t="s">
        <v>652</v>
      </c>
      <c r="C178" t="s">
        <v>653</v>
      </c>
      <c r="D178" s="2">
        <v>1588740000000</v>
      </c>
      <c r="E178" t="s">
        <v>654</v>
      </c>
      <c r="F178" s="2">
        <v>1608040000000</v>
      </c>
      <c r="H178" s="3">
        <v>2</v>
      </c>
      <c r="I178" s="3">
        <v>2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1</v>
      </c>
      <c r="Q178" s="3">
        <f t="shared" si="5"/>
        <v>5</v>
      </c>
    </row>
    <row r="179" spans="1:17" x14ac:dyDescent="0.2">
      <c r="A179" t="s">
        <v>660</v>
      </c>
      <c r="B179" t="s">
        <v>661</v>
      </c>
      <c r="C179" t="s">
        <v>662</v>
      </c>
      <c r="D179" s="2">
        <v>1610460000000</v>
      </c>
      <c r="E179" t="s">
        <v>663</v>
      </c>
      <c r="F179" s="2">
        <v>1614030000000</v>
      </c>
      <c r="G179" t="s">
        <v>664</v>
      </c>
      <c r="H179" s="3">
        <v>2</v>
      </c>
      <c r="I179" s="3">
        <v>2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2</v>
      </c>
      <c r="Q179" s="3">
        <f t="shared" si="5"/>
        <v>6</v>
      </c>
    </row>
    <row r="180" spans="1:17" x14ac:dyDescent="0.2">
      <c r="A180" t="s">
        <v>562</v>
      </c>
      <c r="B180" t="s">
        <v>563</v>
      </c>
      <c r="C180" t="s">
        <v>564</v>
      </c>
      <c r="D180" s="2">
        <v>1519660000000</v>
      </c>
      <c r="E180" t="s">
        <v>565</v>
      </c>
      <c r="F180" s="2">
        <v>1608040000000</v>
      </c>
      <c r="G180" t="s">
        <v>566</v>
      </c>
      <c r="H180" s="3">
        <v>2</v>
      </c>
      <c r="I180" s="3">
        <v>2</v>
      </c>
      <c r="J180" s="3">
        <v>5</v>
      </c>
      <c r="K180" s="3">
        <v>0</v>
      </c>
      <c r="L180" s="3">
        <v>0</v>
      </c>
      <c r="M180" s="3">
        <v>14</v>
      </c>
      <c r="N180" s="3">
        <v>2</v>
      </c>
      <c r="O180" s="3">
        <v>0</v>
      </c>
      <c r="P180" s="3">
        <v>2</v>
      </c>
      <c r="Q180" s="3">
        <f t="shared" si="5"/>
        <v>27</v>
      </c>
    </row>
    <row r="181" spans="1:17" x14ac:dyDescent="0.2">
      <c r="A181" t="s">
        <v>336</v>
      </c>
      <c r="B181" t="s">
        <v>337</v>
      </c>
      <c r="C181" t="s">
        <v>338</v>
      </c>
      <c r="D181" s="2">
        <v>1489520000000</v>
      </c>
      <c r="E181" t="s">
        <v>339</v>
      </c>
      <c r="F181" s="2">
        <v>1608040000000</v>
      </c>
      <c r="H181" s="3">
        <v>1</v>
      </c>
      <c r="I181" s="3">
        <v>1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1</v>
      </c>
      <c r="Q181" s="3">
        <f t="shared" si="5"/>
        <v>3</v>
      </c>
    </row>
    <row r="182" spans="1:17" x14ac:dyDescent="0.2">
      <c r="A182" t="s">
        <v>833</v>
      </c>
      <c r="B182" t="s">
        <v>834</v>
      </c>
      <c r="C182" t="s">
        <v>835</v>
      </c>
      <c r="D182" s="2">
        <v>1600980000000</v>
      </c>
      <c r="E182" t="s">
        <v>836</v>
      </c>
      <c r="F182" s="2">
        <v>1600980000000</v>
      </c>
      <c r="H182" s="3">
        <v>1</v>
      </c>
      <c r="I182" s="3">
        <v>1</v>
      </c>
      <c r="J182" s="3">
        <v>1</v>
      </c>
      <c r="K182" s="3">
        <v>0</v>
      </c>
      <c r="L182" s="3">
        <v>0</v>
      </c>
      <c r="M182" s="3">
        <v>1</v>
      </c>
      <c r="N182" s="3">
        <v>0</v>
      </c>
      <c r="O182" s="3">
        <v>1</v>
      </c>
      <c r="P182" s="3">
        <v>0</v>
      </c>
      <c r="Q182" s="3">
        <f t="shared" si="5"/>
        <v>5</v>
      </c>
    </row>
    <row r="183" spans="1:17" x14ac:dyDescent="0.2">
      <c r="A183" t="s">
        <v>696</v>
      </c>
      <c r="B183" t="s">
        <v>697</v>
      </c>
      <c r="C183" t="s">
        <v>698</v>
      </c>
      <c r="D183" s="2">
        <v>1613660000000</v>
      </c>
      <c r="E183" t="s">
        <v>699</v>
      </c>
      <c r="F183" s="2">
        <v>1619040000000</v>
      </c>
      <c r="G183" t="s">
        <v>659</v>
      </c>
      <c r="H183" s="3">
        <v>0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f t="shared" si="5"/>
        <v>0</v>
      </c>
    </row>
    <row r="184" spans="1:17" x14ac:dyDescent="0.2">
      <c r="A184" t="s">
        <v>700</v>
      </c>
      <c r="B184" t="s">
        <v>701</v>
      </c>
      <c r="C184" t="s">
        <v>702</v>
      </c>
      <c r="D184" s="2">
        <v>1563900000000</v>
      </c>
      <c r="E184" t="s">
        <v>703</v>
      </c>
      <c r="F184" s="2">
        <v>1608040000000</v>
      </c>
      <c r="G184" t="s">
        <v>704</v>
      </c>
      <c r="H184" s="3">
        <v>0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f t="shared" si="5"/>
        <v>0</v>
      </c>
    </row>
    <row r="185" spans="1:17" x14ac:dyDescent="0.2">
      <c r="A185" t="s">
        <v>845</v>
      </c>
      <c r="B185" t="s">
        <v>846</v>
      </c>
      <c r="C185" t="s">
        <v>847</v>
      </c>
      <c r="D185" s="2">
        <v>1618930000000</v>
      </c>
      <c r="E185" t="s">
        <v>848</v>
      </c>
      <c r="F185" s="2">
        <v>1618930000000</v>
      </c>
      <c r="H185" s="3">
        <v>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f t="shared" si="5"/>
        <v>0</v>
      </c>
    </row>
    <row r="186" spans="1:17" x14ac:dyDescent="0.2">
      <c r="A186" t="s">
        <v>841</v>
      </c>
      <c r="B186" t="s">
        <v>842</v>
      </c>
      <c r="C186" t="s">
        <v>843</v>
      </c>
      <c r="D186" s="2">
        <v>1618510000000</v>
      </c>
      <c r="E186" t="s">
        <v>844</v>
      </c>
      <c r="F186" s="2">
        <v>1619810000000</v>
      </c>
      <c r="H186" s="3">
        <v>0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f t="shared" si="5"/>
        <v>0</v>
      </c>
    </row>
    <row r="187" spans="1:17" x14ac:dyDescent="0.2">
      <c r="A187" t="s">
        <v>746</v>
      </c>
      <c r="B187" t="s">
        <v>747</v>
      </c>
      <c r="C187" t="s">
        <v>748</v>
      </c>
      <c r="D187" s="2">
        <v>1610460000000</v>
      </c>
      <c r="E187" t="s">
        <v>749</v>
      </c>
      <c r="F187" s="2">
        <v>1619810000000</v>
      </c>
      <c r="G187" t="s">
        <v>664</v>
      </c>
      <c r="H187" s="3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f t="shared" si="5"/>
        <v>0</v>
      </c>
    </row>
    <row r="188" spans="1:17" x14ac:dyDescent="0.2">
      <c r="A188" t="s">
        <v>837</v>
      </c>
      <c r="B188" t="s">
        <v>838</v>
      </c>
      <c r="C188" t="s">
        <v>839</v>
      </c>
      <c r="D188" s="2">
        <v>1616670000000</v>
      </c>
      <c r="E188" t="s">
        <v>840</v>
      </c>
      <c r="F188" s="2">
        <v>1618340000000</v>
      </c>
      <c r="G188" t="s">
        <v>659</v>
      </c>
      <c r="H188" s="3">
        <v>0</v>
      </c>
      <c r="I188" s="3">
        <v>0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f t="shared" si="5"/>
        <v>0</v>
      </c>
    </row>
    <row r="189" spans="1:17" x14ac:dyDescent="0.2">
      <c r="A189" t="s">
        <v>782</v>
      </c>
      <c r="B189" t="s">
        <v>783</v>
      </c>
      <c r="C189" t="s">
        <v>784</v>
      </c>
      <c r="D189" s="2">
        <v>1602190000000</v>
      </c>
      <c r="E189" t="s">
        <v>785</v>
      </c>
      <c r="F189" s="2">
        <v>1613590000000</v>
      </c>
      <c r="G189" t="s">
        <v>633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f t="shared" si="5"/>
        <v>0</v>
      </c>
    </row>
    <row r="190" spans="1:17" x14ac:dyDescent="0.2">
      <c r="A190" t="s">
        <v>665</v>
      </c>
      <c r="B190" t="s">
        <v>666</v>
      </c>
      <c r="C190" t="s">
        <v>667</v>
      </c>
      <c r="D190" s="2">
        <v>1610460000000</v>
      </c>
      <c r="E190" t="s">
        <v>668</v>
      </c>
      <c r="F190" s="2">
        <v>1617630000000</v>
      </c>
      <c r="G190" t="s">
        <v>659</v>
      </c>
      <c r="H190" s="3">
        <v>0</v>
      </c>
      <c r="I190" s="3">
        <v>0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  <c r="Q190" s="3">
        <f t="shared" si="5"/>
        <v>0</v>
      </c>
    </row>
    <row r="191" spans="1:17" x14ac:dyDescent="0.2">
      <c r="A191" t="s">
        <v>754</v>
      </c>
      <c r="B191" t="s">
        <v>755</v>
      </c>
      <c r="C191" t="s">
        <v>756</v>
      </c>
      <c r="D191" s="2">
        <v>1610460000000</v>
      </c>
      <c r="E191" t="s">
        <v>757</v>
      </c>
      <c r="F191" s="2">
        <v>1619530000000</v>
      </c>
      <c r="G191" t="s">
        <v>664</v>
      </c>
      <c r="H191" s="3">
        <v>0</v>
      </c>
      <c r="I191" s="3">
        <v>0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0</v>
      </c>
      <c r="Q191" s="3">
        <f t="shared" si="5"/>
        <v>0</v>
      </c>
    </row>
    <row r="192" spans="1:17" x14ac:dyDescent="0.2">
      <c r="A192" t="s">
        <v>527</v>
      </c>
      <c r="B192" t="s">
        <v>528</v>
      </c>
      <c r="C192" t="s">
        <v>529</v>
      </c>
      <c r="D192" s="2">
        <v>1509470000000</v>
      </c>
      <c r="E192" t="s">
        <v>530</v>
      </c>
      <c r="F192" s="2">
        <v>1608040000000</v>
      </c>
      <c r="G192" t="s">
        <v>531</v>
      </c>
      <c r="H192" s="3">
        <v>0</v>
      </c>
      <c r="I192" s="3">
        <v>0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3">
        <v>0</v>
      </c>
      <c r="Q192" s="3">
        <f t="shared" si="5"/>
        <v>0</v>
      </c>
    </row>
    <row r="193" spans="1:17" x14ac:dyDescent="0.2">
      <c r="A193" t="s">
        <v>140</v>
      </c>
      <c r="B193" t="s">
        <v>141</v>
      </c>
      <c r="C193" t="s">
        <v>142</v>
      </c>
      <c r="D193" s="2">
        <v>1464800000000</v>
      </c>
      <c r="E193" t="s">
        <v>143</v>
      </c>
      <c r="F193" s="2">
        <v>1608040000000</v>
      </c>
      <c r="G193" t="s">
        <v>144</v>
      </c>
      <c r="H193" s="3">
        <v>0</v>
      </c>
      <c r="I193" s="3">
        <v>0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3">
        <v>0</v>
      </c>
      <c r="Q193" s="3">
        <f t="shared" si="5"/>
        <v>0</v>
      </c>
    </row>
    <row r="194" spans="1:17" x14ac:dyDescent="0.2">
      <c r="Q194" s="3">
        <f>SUM(Q2:Q193)</f>
        <v>804984655</v>
      </c>
    </row>
  </sheetData>
  <pageMargins left="0.75" right="0.75" top="1" bottom="1" header="0.5" footer="0.5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M193"/>
  <sheetViews>
    <sheetView workbookViewId="0">
      <selection activeCell="E51" sqref="E51"/>
    </sheetView>
  </sheetViews>
  <sheetFormatPr baseColWidth="10" defaultRowHeight="16" x14ac:dyDescent="0.2"/>
  <cols>
    <col min="1" max="1" width="25.5" bestFit="1" customWidth="1"/>
    <col min="2" max="2" width="56" bestFit="1" customWidth="1"/>
    <col min="3" max="3" width="14" style="3" customWidth="1"/>
    <col min="4" max="4" width="16.33203125" style="3" customWidth="1"/>
    <col min="5" max="5" width="17" style="3" customWidth="1"/>
    <col min="6" max="6" width="17.1640625" style="3" customWidth="1"/>
    <col min="7" max="7" width="18.5" style="3" customWidth="1"/>
    <col min="8" max="8" width="26.1640625" style="3" customWidth="1"/>
    <col min="9" max="9" width="18.6640625" style="3" customWidth="1"/>
    <col min="10" max="10" width="19.1640625" style="3" customWidth="1"/>
    <col min="11" max="11" width="15.83203125" style="3" customWidth="1"/>
    <col min="12" max="12" width="17.1640625" bestFit="1" customWidth="1"/>
    <col min="13" max="13" width="14.33203125" style="4" bestFit="1" customWidth="1"/>
  </cols>
  <sheetData>
    <row r="1" spans="1:13" x14ac:dyDescent="0.2">
      <c r="A1" t="s">
        <v>0</v>
      </c>
      <c r="B1" t="s">
        <v>1</v>
      </c>
      <c r="C1" s="3" t="s">
        <v>862</v>
      </c>
      <c r="D1" s="3" t="s">
        <v>863</v>
      </c>
      <c r="E1" s="3" t="s">
        <v>864</v>
      </c>
      <c r="F1" s="3" t="s">
        <v>865</v>
      </c>
      <c r="G1" s="3" t="s">
        <v>849</v>
      </c>
      <c r="H1" s="3" t="s">
        <v>850</v>
      </c>
      <c r="I1" s="3" t="s">
        <v>851</v>
      </c>
      <c r="J1" s="3" t="s">
        <v>852</v>
      </c>
      <c r="K1" s="3" t="s">
        <v>853</v>
      </c>
      <c r="L1" t="s">
        <v>866</v>
      </c>
      <c r="M1" s="4" t="s">
        <v>867</v>
      </c>
    </row>
    <row r="2" spans="1:13" x14ac:dyDescent="0.2">
      <c r="A2" t="s">
        <v>16</v>
      </c>
      <c r="B2" t="s">
        <v>17</v>
      </c>
      <c r="C2" s="3">
        <v>3502628163</v>
      </c>
      <c r="D2" s="3">
        <v>17307191733</v>
      </c>
      <c r="E2" s="3">
        <v>23689642464</v>
      </c>
      <c r="F2" s="3">
        <v>0</v>
      </c>
      <c r="G2" s="3">
        <v>6123726</v>
      </c>
      <c r="H2" s="3">
        <v>18882074957</v>
      </c>
      <c r="I2" s="3">
        <v>2310286714</v>
      </c>
      <c r="J2" s="3">
        <v>258475464</v>
      </c>
      <c r="K2" s="3">
        <v>5187910104</v>
      </c>
      <c r="L2" s="3">
        <f t="shared" ref="L2:L33" si="0">SUM(C2:K2)</f>
        <v>71144333325</v>
      </c>
      <c r="M2" s="4">
        <f>CONVERT(Table6[[#This Row],[Estimation Total]],"byte","Gibyte")</f>
        <v>66.258323681540787</v>
      </c>
    </row>
    <row r="3" spans="1:13" x14ac:dyDescent="0.2">
      <c r="A3" t="s">
        <v>227</v>
      </c>
      <c r="B3" t="s">
        <v>228</v>
      </c>
      <c r="C3" s="3">
        <v>684774279</v>
      </c>
      <c r="D3" s="3">
        <v>10376028531</v>
      </c>
      <c r="E3" s="3">
        <v>21590374671</v>
      </c>
      <c r="F3" s="3">
        <v>0</v>
      </c>
      <c r="G3" s="3">
        <v>55180314</v>
      </c>
      <c r="H3" s="3">
        <v>12645054150</v>
      </c>
      <c r="I3" s="3">
        <v>2960043460</v>
      </c>
      <c r="J3" s="3">
        <v>728127816</v>
      </c>
      <c r="K3" s="3">
        <v>6428060668</v>
      </c>
      <c r="L3" s="3">
        <f t="shared" si="0"/>
        <v>55467643889</v>
      </c>
      <c r="M3" s="4">
        <f>CONVERT(Table6[[#This Row],[Estimation Total]],"byte","Gibyte")</f>
        <v>51.658268914557993</v>
      </c>
    </row>
    <row r="4" spans="1:13" x14ac:dyDescent="0.2">
      <c r="A4" t="s">
        <v>393</v>
      </c>
      <c r="B4" t="s">
        <v>394</v>
      </c>
      <c r="C4" s="3">
        <v>5886412011</v>
      </c>
      <c r="D4" s="3">
        <v>22639696251</v>
      </c>
      <c r="E4" s="3">
        <v>17403206823</v>
      </c>
      <c r="F4" s="3">
        <v>295</v>
      </c>
      <c r="G4" s="3">
        <v>440748</v>
      </c>
      <c r="H4" s="3">
        <v>954820795</v>
      </c>
      <c r="I4" s="3">
        <v>1430172346</v>
      </c>
      <c r="J4" s="3">
        <v>33801768</v>
      </c>
      <c r="K4" s="3">
        <v>6590781455</v>
      </c>
      <c r="L4" s="3">
        <f t="shared" si="0"/>
        <v>54939332492</v>
      </c>
      <c r="M4" s="4">
        <f>CONVERT(Table6[[#This Row],[Estimation Total]],"byte","Gibyte")</f>
        <v>51.166240584105253</v>
      </c>
    </row>
    <row r="5" spans="1:13" x14ac:dyDescent="0.2">
      <c r="A5" t="s">
        <v>502</v>
      </c>
      <c r="B5" t="s">
        <v>503</v>
      </c>
      <c r="C5" s="3">
        <v>1442821761</v>
      </c>
      <c r="D5" s="3">
        <v>30292386408</v>
      </c>
      <c r="E5" s="3">
        <v>2644981830</v>
      </c>
      <c r="F5" s="3">
        <v>15363600</v>
      </c>
      <c r="G5" s="3">
        <v>251538</v>
      </c>
      <c r="H5" s="3">
        <v>1331663122</v>
      </c>
      <c r="I5" s="3">
        <v>332081690</v>
      </c>
      <c r="J5" s="3">
        <v>10143120</v>
      </c>
      <c r="K5" s="3">
        <v>7289948615</v>
      </c>
      <c r="L5" s="3">
        <f t="shared" si="0"/>
        <v>43359641684</v>
      </c>
      <c r="M5" s="4">
        <f>CONVERT(Table6[[#This Row],[Estimation Total]],"byte","Gibyte")</f>
        <v>40.381813127547503</v>
      </c>
    </row>
    <row r="6" spans="1:13" x14ac:dyDescent="0.2">
      <c r="A6" t="s">
        <v>159</v>
      </c>
      <c r="B6" t="s">
        <v>160</v>
      </c>
      <c r="C6" s="3">
        <v>811992987</v>
      </c>
      <c r="D6" s="3">
        <v>11595049452</v>
      </c>
      <c r="E6" s="3">
        <v>20566478196</v>
      </c>
      <c r="F6" s="3">
        <v>0</v>
      </c>
      <c r="G6" s="3">
        <v>519844458</v>
      </c>
      <c r="H6" s="3">
        <v>6225493684</v>
      </c>
      <c r="I6" s="3">
        <v>322090210</v>
      </c>
      <c r="J6" s="3">
        <v>666076632</v>
      </c>
      <c r="K6" s="3">
        <v>2409386218</v>
      </c>
      <c r="L6" s="3">
        <f t="shared" si="0"/>
        <v>43116411837</v>
      </c>
      <c r="M6" s="4">
        <f>CONVERT(Table6[[#This Row],[Estimation Total]],"byte","Gibyte")</f>
        <v>40.155287680216134</v>
      </c>
    </row>
    <row r="7" spans="1:13" x14ac:dyDescent="0.2">
      <c r="A7" t="s">
        <v>107</v>
      </c>
      <c r="B7" t="s">
        <v>108</v>
      </c>
      <c r="C7" s="3">
        <v>731265669</v>
      </c>
      <c r="D7" s="3">
        <v>8323731510</v>
      </c>
      <c r="E7" s="3">
        <v>18048760767</v>
      </c>
      <c r="F7" s="3">
        <v>0</v>
      </c>
      <c r="G7" s="3">
        <v>363873090</v>
      </c>
      <c r="H7" s="3">
        <v>7098264663</v>
      </c>
      <c r="I7" s="3">
        <v>18740776</v>
      </c>
      <c r="J7" s="3">
        <v>714945816</v>
      </c>
      <c r="K7" s="3">
        <v>2515511562</v>
      </c>
      <c r="L7" s="3">
        <f t="shared" si="0"/>
        <v>37815093853</v>
      </c>
      <c r="M7" s="4">
        <f>CONVERT(Table6[[#This Row],[Estimation Total]],"byte","Gibyte")</f>
        <v>35.218050566501915</v>
      </c>
    </row>
    <row r="8" spans="1:13" x14ac:dyDescent="0.2">
      <c r="A8" t="s">
        <v>90</v>
      </c>
      <c r="B8" t="s">
        <v>91</v>
      </c>
      <c r="C8" s="3">
        <v>984802068</v>
      </c>
      <c r="D8" s="3">
        <v>24832102086</v>
      </c>
      <c r="E8" s="3">
        <v>4208407569</v>
      </c>
      <c r="F8" s="3">
        <v>0</v>
      </c>
      <c r="G8" s="3">
        <v>0</v>
      </c>
      <c r="H8" s="3">
        <v>0</v>
      </c>
      <c r="I8" s="3">
        <v>105086066</v>
      </c>
      <c r="J8" s="3">
        <v>3444168</v>
      </c>
      <c r="K8" s="3">
        <v>5874107819</v>
      </c>
      <c r="L8" s="3">
        <f t="shared" si="0"/>
        <v>36007949776</v>
      </c>
      <c r="M8" s="4">
        <f>CONVERT(Table6[[#This Row],[Estimation Total]],"byte","Gibyte")</f>
        <v>33.535016492009163</v>
      </c>
    </row>
    <row r="9" spans="1:13" x14ac:dyDescent="0.2">
      <c r="A9" t="s">
        <v>313</v>
      </c>
      <c r="B9" t="s">
        <v>314</v>
      </c>
      <c r="C9" s="3">
        <v>895193685</v>
      </c>
      <c r="D9" s="3">
        <v>2002855776</v>
      </c>
      <c r="E9" s="3">
        <v>7995694014</v>
      </c>
      <c r="F9" s="3">
        <v>9460650</v>
      </c>
      <c r="G9" s="3">
        <v>4696860</v>
      </c>
      <c r="H9" s="3">
        <v>22345567432</v>
      </c>
      <c r="I9" s="3">
        <v>212399962</v>
      </c>
      <c r="J9" s="3">
        <v>0</v>
      </c>
      <c r="K9" s="3">
        <v>462838159</v>
      </c>
      <c r="L9" s="3">
        <f t="shared" si="0"/>
        <v>33928706538</v>
      </c>
      <c r="M9" s="4">
        <f>CONVERT(Table6[[#This Row],[Estimation Total]],"byte","Gibyte")</f>
        <v>31.598570326343179</v>
      </c>
    </row>
    <row r="10" spans="1:13" x14ac:dyDescent="0.2">
      <c r="A10" t="s">
        <v>60</v>
      </c>
      <c r="B10" t="s">
        <v>61</v>
      </c>
      <c r="C10" s="3">
        <v>1465648884</v>
      </c>
      <c r="D10" s="3">
        <v>12747412704</v>
      </c>
      <c r="E10" s="3">
        <v>7702783443</v>
      </c>
      <c r="F10" s="3">
        <v>590</v>
      </c>
      <c r="G10" s="3">
        <v>1547070</v>
      </c>
      <c r="H10" s="3">
        <v>4555817959</v>
      </c>
      <c r="I10" s="3">
        <v>881356552</v>
      </c>
      <c r="J10" s="3">
        <v>17657640</v>
      </c>
      <c r="K10" s="3">
        <v>3286916694</v>
      </c>
      <c r="L10" s="3">
        <f t="shared" si="0"/>
        <v>30659141536</v>
      </c>
      <c r="M10" s="4">
        <f>CONVERT(Table6[[#This Row],[Estimation Total]],"byte","Gibyte")</f>
        <v>28.553550630807877</v>
      </c>
    </row>
    <row r="11" spans="1:13" x14ac:dyDescent="0.2">
      <c r="A11" t="s">
        <v>190</v>
      </c>
      <c r="B11" t="s">
        <v>191</v>
      </c>
      <c r="C11" s="3">
        <v>577944648</v>
      </c>
      <c r="D11" s="3">
        <v>7304490633</v>
      </c>
      <c r="E11" s="3">
        <v>9063628299</v>
      </c>
      <c r="F11" s="3">
        <v>0</v>
      </c>
      <c r="G11" s="3">
        <v>1486968</v>
      </c>
      <c r="H11" s="3">
        <v>10602165854</v>
      </c>
      <c r="I11" s="3">
        <v>913599328</v>
      </c>
      <c r="J11" s="3">
        <v>30518592</v>
      </c>
      <c r="K11" s="3">
        <v>1807910977</v>
      </c>
      <c r="L11" s="3">
        <f t="shared" si="0"/>
        <v>30301745299</v>
      </c>
      <c r="M11" s="4">
        <f>CONVERT(Table6[[#This Row],[Estimation Total]],"byte","Gibyte")</f>
        <v>28.220699447207153</v>
      </c>
    </row>
    <row r="12" spans="1:13" x14ac:dyDescent="0.2">
      <c r="A12" t="s">
        <v>507</v>
      </c>
      <c r="B12" t="s">
        <v>508</v>
      </c>
      <c r="C12" s="3">
        <v>4290190407</v>
      </c>
      <c r="D12" s="3">
        <v>15338259147</v>
      </c>
      <c r="E12" s="3">
        <v>4270095288</v>
      </c>
      <c r="F12" s="3">
        <v>885</v>
      </c>
      <c r="G12" s="3">
        <v>40068</v>
      </c>
      <c r="H12" s="3">
        <v>712626048</v>
      </c>
      <c r="I12" s="3">
        <v>415389030</v>
      </c>
      <c r="J12" s="3">
        <v>21429408</v>
      </c>
      <c r="K12" s="3">
        <v>4615796662</v>
      </c>
      <c r="L12" s="3">
        <f t="shared" si="0"/>
        <v>29663826943</v>
      </c>
      <c r="M12" s="4">
        <f>CONVERT(Table6[[#This Row],[Estimation Total]],"byte","Gibyte")</f>
        <v>27.626591681502759</v>
      </c>
    </row>
    <row r="13" spans="1:13" x14ac:dyDescent="0.2">
      <c r="A13" t="s">
        <v>374</v>
      </c>
      <c r="B13" t="s">
        <v>375</v>
      </c>
      <c r="C13" s="3">
        <v>361542924</v>
      </c>
      <c r="D13" s="3">
        <v>9811158072</v>
      </c>
      <c r="E13" s="3">
        <v>10333712133</v>
      </c>
      <c r="F13" s="3">
        <v>0</v>
      </c>
      <c r="G13" s="3">
        <v>62136564</v>
      </c>
      <c r="H13" s="3">
        <v>6346789635</v>
      </c>
      <c r="I13" s="3">
        <v>20198992</v>
      </c>
      <c r="J13" s="3">
        <v>42801408</v>
      </c>
      <c r="K13" s="3">
        <v>2359875526</v>
      </c>
      <c r="L13" s="3">
        <f t="shared" si="0"/>
        <v>29338215254</v>
      </c>
      <c r="M13" s="4">
        <f>CONVERT(Table6[[#This Row],[Estimation Total]],"byte","Gibyte")</f>
        <v>27.323342164978385</v>
      </c>
    </row>
    <row r="14" spans="1:13" x14ac:dyDescent="0.2">
      <c r="A14" t="s">
        <v>168</v>
      </c>
      <c r="B14" t="s">
        <v>169</v>
      </c>
      <c r="C14" s="3">
        <v>302671044</v>
      </c>
      <c r="D14" s="3">
        <v>2102809137</v>
      </c>
      <c r="E14" s="3">
        <v>8327104623</v>
      </c>
      <c r="F14" s="3">
        <v>0</v>
      </c>
      <c r="G14" s="3">
        <v>45541734</v>
      </c>
      <c r="H14" s="3">
        <v>4579741132</v>
      </c>
      <c r="I14" s="3">
        <v>11907967382</v>
      </c>
      <c r="J14" s="3">
        <v>98763288</v>
      </c>
      <c r="K14" s="3">
        <v>105768461</v>
      </c>
      <c r="L14" s="3">
        <f t="shared" si="0"/>
        <v>27470366801</v>
      </c>
      <c r="M14" s="4">
        <f>CONVERT(Table6[[#This Row],[Estimation Total]],"byte","Gibyte")</f>
        <v>25.583772734738886</v>
      </c>
    </row>
    <row r="15" spans="1:13" x14ac:dyDescent="0.2">
      <c r="A15" t="s">
        <v>303</v>
      </c>
      <c r="B15" t="s">
        <v>304</v>
      </c>
      <c r="C15" s="3">
        <v>725720949</v>
      </c>
      <c r="D15" s="3">
        <v>4449956568</v>
      </c>
      <c r="E15" s="3">
        <v>8144977320</v>
      </c>
      <c r="F15" s="3">
        <v>6490</v>
      </c>
      <c r="G15" s="3">
        <v>14615916</v>
      </c>
      <c r="H15" s="3">
        <v>8012419193</v>
      </c>
      <c r="I15" s="3">
        <v>3541655612</v>
      </c>
      <c r="J15" s="3">
        <v>115530480</v>
      </c>
      <c r="K15" s="3">
        <v>1382589343</v>
      </c>
      <c r="L15" s="3">
        <f t="shared" si="0"/>
        <v>26387471871</v>
      </c>
      <c r="M15" s="4">
        <f>CONVERT(Table6[[#This Row],[Estimation Total]],"byte","Gibyte")</f>
        <v>24.575248240493238</v>
      </c>
    </row>
    <row r="16" spans="1:13" x14ac:dyDescent="0.2">
      <c r="A16" t="s">
        <v>388</v>
      </c>
      <c r="B16" t="s">
        <v>389</v>
      </c>
      <c r="C16" s="3">
        <v>1736220348</v>
      </c>
      <c r="D16" s="3">
        <v>4856011113</v>
      </c>
      <c r="E16" s="3">
        <v>7628628780</v>
      </c>
      <c r="F16" s="3">
        <v>295</v>
      </c>
      <c r="G16" s="3">
        <v>1887648</v>
      </c>
      <c r="H16" s="3">
        <v>4206884797</v>
      </c>
      <c r="I16" s="3">
        <v>3013403364</v>
      </c>
      <c r="J16" s="3">
        <v>13209768</v>
      </c>
      <c r="K16" s="3">
        <v>2996152420</v>
      </c>
      <c r="L16" s="3">
        <f t="shared" si="0"/>
        <v>24452398533</v>
      </c>
      <c r="M16" s="4">
        <f>CONVERT(Table6[[#This Row],[Estimation Total]],"byte","Gibyte")</f>
        <v>22.77307075727731</v>
      </c>
    </row>
    <row r="17" spans="1:13" x14ac:dyDescent="0.2">
      <c r="A17" t="s">
        <v>270</v>
      </c>
      <c r="B17" t="s">
        <v>271</v>
      </c>
      <c r="C17" s="3">
        <v>766768185</v>
      </c>
      <c r="D17" s="3">
        <v>15538005312</v>
      </c>
      <c r="E17" s="3">
        <v>2430031401</v>
      </c>
      <c r="F17" s="3">
        <v>2065</v>
      </c>
      <c r="G17" s="3">
        <v>4452</v>
      </c>
      <c r="H17" s="3">
        <v>31228418</v>
      </c>
      <c r="I17" s="3">
        <v>43354922</v>
      </c>
      <c r="J17" s="3">
        <v>2955576</v>
      </c>
      <c r="K17" s="3">
        <v>3971212718</v>
      </c>
      <c r="L17" s="3">
        <f t="shared" si="0"/>
        <v>22783563049</v>
      </c>
      <c r="M17" s="4">
        <f>CONVERT(Table6[[#This Row],[Estimation Total]],"byte","Gibyte")</f>
        <v>21.218846597708762</v>
      </c>
    </row>
    <row r="18" spans="1:13" x14ac:dyDescent="0.2">
      <c r="A18" t="s">
        <v>208</v>
      </c>
      <c r="B18" t="s">
        <v>209</v>
      </c>
      <c r="C18" s="3">
        <v>985603878</v>
      </c>
      <c r="D18" s="3">
        <v>12247124457</v>
      </c>
      <c r="E18" s="3">
        <v>4562727579</v>
      </c>
      <c r="F18" s="3">
        <v>0</v>
      </c>
      <c r="G18" s="3">
        <v>309414</v>
      </c>
      <c r="H18" s="3">
        <v>416317127</v>
      </c>
      <c r="I18" s="3">
        <v>264072116</v>
      </c>
      <c r="J18" s="3">
        <v>14132976</v>
      </c>
      <c r="K18" s="3">
        <v>2982873272</v>
      </c>
      <c r="L18" s="3">
        <f t="shared" si="0"/>
        <v>21473160819</v>
      </c>
      <c r="M18" s="4">
        <f>CONVERT(Table6[[#This Row],[Estimation Total]],"byte","Gibyte")</f>
        <v>19.998439419083297</v>
      </c>
    </row>
    <row r="19" spans="1:13" x14ac:dyDescent="0.2">
      <c r="A19" t="s">
        <v>541</v>
      </c>
      <c r="B19" t="s">
        <v>542</v>
      </c>
      <c r="C19" s="3">
        <v>1169878842</v>
      </c>
      <c r="D19" s="3">
        <v>3370715982</v>
      </c>
      <c r="E19" s="3">
        <v>6016044879</v>
      </c>
      <c r="F19" s="3">
        <v>590</v>
      </c>
      <c r="G19" s="3">
        <v>5355756</v>
      </c>
      <c r="H19" s="3">
        <v>6142996166</v>
      </c>
      <c r="I19" s="3">
        <v>893805396</v>
      </c>
      <c r="J19" s="3">
        <v>40397448</v>
      </c>
      <c r="K19" s="3">
        <v>771170243</v>
      </c>
      <c r="L19" s="3">
        <f t="shared" si="0"/>
        <v>18410365302</v>
      </c>
      <c r="M19" s="4">
        <f>CONVERT(Table6[[#This Row],[Estimation Total]],"byte","Gibyte")</f>
        <v>17.145988812670112</v>
      </c>
    </row>
    <row r="20" spans="1:13" x14ac:dyDescent="0.2">
      <c r="A20" t="s">
        <v>340</v>
      </c>
      <c r="B20" t="s">
        <v>341</v>
      </c>
      <c r="C20" s="3">
        <v>201959631</v>
      </c>
      <c r="D20" s="3">
        <v>2376545565</v>
      </c>
      <c r="E20" s="3">
        <v>9552037527</v>
      </c>
      <c r="F20" s="3">
        <v>5986140</v>
      </c>
      <c r="G20" s="3">
        <v>52644900</v>
      </c>
      <c r="H20" s="3">
        <v>5599517229</v>
      </c>
      <c r="I20" s="3">
        <v>62689786</v>
      </c>
      <c r="J20" s="3">
        <v>85113288</v>
      </c>
      <c r="K20" s="3">
        <v>213985564</v>
      </c>
      <c r="L20" s="3">
        <f t="shared" si="0"/>
        <v>18150479630</v>
      </c>
      <c r="M20" s="4">
        <f>CONVERT(Table6[[#This Row],[Estimation Total]],"byte","Gibyte")</f>
        <v>16.903951419517398</v>
      </c>
    </row>
    <row r="21" spans="1:13" x14ac:dyDescent="0.2">
      <c r="A21" s="1" t="s">
        <v>64</v>
      </c>
      <c r="B21" t="s">
        <v>65</v>
      </c>
      <c r="C21" s="3">
        <v>1256218830</v>
      </c>
      <c r="D21" s="3">
        <v>2883680316</v>
      </c>
      <c r="E21" s="3">
        <v>4964828265</v>
      </c>
      <c r="F21" s="3">
        <v>295</v>
      </c>
      <c r="G21" s="3">
        <v>7241178</v>
      </c>
      <c r="H21" s="3">
        <v>5573194277</v>
      </c>
      <c r="I21" s="3">
        <v>1057922206</v>
      </c>
      <c r="J21" s="3">
        <v>24398088</v>
      </c>
      <c r="K21" s="3">
        <v>688727574</v>
      </c>
      <c r="L21" s="3">
        <f t="shared" si="0"/>
        <v>16456211029</v>
      </c>
      <c r="M21" s="4">
        <f>CONVERT(Table6[[#This Row],[Estimation Total]],"byte","Gibyte")</f>
        <v>15.326040823943913</v>
      </c>
    </row>
    <row r="22" spans="1:13" x14ac:dyDescent="0.2">
      <c r="A22" t="s">
        <v>401</v>
      </c>
      <c r="B22" t="s">
        <v>402</v>
      </c>
      <c r="C22" s="3">
        <v>876219327</v>
      </c>
      <c r="D22" s="3">
        <v>6258286491</v>
      </c>
      <c r="E22" s="3">
        <v>6443747325</v>
      </c>
      <c r="F22" s="3">
        <v>295</v>
      </c>
      <c r="G22" s="3">
        <v>300510</v>
      </c>
      <c r="H22" s="3">
        <v>558320499</v>
      </c>
      <c r="I22" s="3">
        <v>373168276</v>
      </c>
      <c r="J22" s="3">
        <v>18005520</v>
      </c>
      <c r="K22" s="3">
        <v>1658855203</v>
      </c>
      <c r="L22" s="3">
        <f t="shared" si="0"/>
        <v>16186903446</v>
      </c>
      <c r="M22" s="4">
        <f>CONVERT(Table6[[#This Row],[Estimation Total]],"byte","Gibyte")</f>
        <v>15.075228592380881</v>
      </c>
    </row>
    <row r="23" spans="1:13" x14ac:dyDescent="0.2">
      <c r="A23" t="s">
        <v>591</v>
      </c>
      <c r="B23" t="s">
        <v>592</v>
      </c>
      <c r="C23" s="3">
        <v>1846730151</v>
      </c>
      <c r="D23" s="3">
        <v>7279327374</v>
      </c>
      <c r="E23" s="3">
        <v>4853523222</v>
      </c>
      <c r="F23" s="3">
        <v>0</v>
      </c>
      <c r="G23" s="3">
        <v>0</v>
      </c>
      <c r="H23" s="3">
        <v>0</v>
      </c>
      <c r="I23" s="3">
        <v>29744906</v>
      </c>
      <c r="J23" s="3">
        <v>0</v>
      </c>
      <c r="K23" s="3">
        <v>1239677753</v>
      </c>
      <c r="L23" s="3">
        <f t="shared" si="0"/>
        <v>15249003406</v>
      </c>
      <c r="M23" s="4">
        <f>CONVERT(Table6[[#This Row],[Estimation Total]],"byte","Gibyte")</f>
        <v>14.201741112396121</v>
      </c>
    </row>
    <row r="24" spans="1:13" x14ac:dyDescent="0.2">
      <c r="A24" t="s">
        <v>679</v>
      </c>
      <c r="B24" t="s">
        <v>680</v>
      </c>
      <c r="C24" s="3">
        <v>987365142</v>
      </c>
      <c r="D24" s="3">
        <v>10406584443</v>
      </c>
      <c r="E24" s="3">
        <v>900047961</v>
      </c>
      <c r="F24" s="3">
        <v>0</v>
      </c>
      <c r="G24" s="3">
        <v>0</v>
      </c>
      <c r="H24" s="3">
        <v>0</v>
      </c>
      <c r="I24" s="3">
        <v>14109590</v>
      </c>
      <c r="J24" s="3">
        <v>0</v>
      </c>
      <c r="K24" s="3">
        <v>2722741961</v>
      </c>
      <c r="L24" s="3">
        <f t="shared" si="0"/>
        <v>15030849097</v>
      </c>
      <c r="M24" s="4">
        <f>CONVERT(Table6[[#This Row],[Estimation Total]],"byte","Gibyte")</f>
        <v>13.99856907967478</v>
      </c>
    </row>
    <row r="25" spans="1:13" x14ac:dyDescent="0.2">
      <c r="A25" t="s">
        <v>275</v>
      </c>
      <c r="B25" t="s">
        <v>276</v>
      </c>
      <c r="C25" s="3">
        <v>556112313</v>
      </c>
      <c r="D25" s="3">
        <v>8867931360</v>
      </c>
      <c r="E25" s="3">
        <v>2740529268</v>
      </c>
      <c r="F25" s="3">
        <v>295</v>
      </c>
      <c r="G25" s="3">
        <v>0</v>
      </c>
      <c r="H25" s="3">
        <v>0</v>
      </c>
      <c r="I25" s="3">
        <v>31027596</v>
      </c>
      <c r="J25" s="3">
        <v>1716936</v>
      </c>
      <c r="K25" s="3">
        <v>2107024426</v>
      </c>
      <c r="L25" s="3">
        <f t="shared" si="0"/>
        <v>14304342194</v>
      </c>
      <c r="M25" s="4">
        <f>CONVERT(Table6[[#This Row],[Estimation Total]],"byte","Gibyte")</f>
        <v>13.321956800296903</v>
      </c>
    </row>
    <row r="26" spans="1:13" x14ac:dyDescent="0.2">
      <c r="A26" t="s">
        <v>289</v>
      </c>
      <c r="B26" t="s">
        <v>290</v>
      </c>
      <c r="C26" s="3">
        <v>210059271</v>
      </c>
      <c r="D26" s="3">
        <v>1066644963</v>
      </c>
      <c r="E26" s="3">
        <v>3262478193</v>
      </c>
      <c r="F26" s="3">
        <v>8996025</v>
      </c>
      <c r="G26" s="3">
        <v>20252148</v>
      </c>
      <c r="H26" s="3">
        <v>4772240957</v>
      </c>
      <c r="I26" s="3">
        <v>4579270810</v>
      </c>
      <c r="J26" s="3">
        <v>104226096</v>
      </c>
      <c r="K26" s="3">
        <v>243854548</v>
      </c>
      <c r="L26" s="3">
        <f t="shared" si="0"/>
        <v>14268023011</v>
      </c>
      <c r="M26" s="4">
        <f>CONVERT(Table6[[#This Row],[Estimation Total]],"byte","Gibyte")</f>
        <v>13.288131925277412</v>
      </c>
    </row>
    <row r="27" spans="1:13" x14ac:dyDescent="0.2">
      <c r="A27" t="s">
        <v>100</v>
      </c>
      <c r="B27" t="s">
        <v>101</v>
      </c>
      <c r="C27" s="3">
        <v>814489470</v>
      </c>
      <c r="D27" s="3">
        <v>3540113928</v>
      </c>
      <c r="E27" s="3">
        <v>7221846033</v>
      </c>
      <c r="F27" s="3">
        <v>0</v>
      </c>
      <c r="G27" s="3">
        <v>1095192</v>
      </c>
      <c r="H27" s="3">
        <v>1156914922</v>
      </c>
      <c r="I27" s="3">
        <v>306886958</v>
      </c>
      <c r="J27" s="3">
        <v>42874728</v>
      </c>
      <c r="K27" s="3">
        <v>1152399471</v>
      </c>
      <c r="L27" s="3">
        <f t="shared" si="0"/>
        <v>14236620702</v>
      </c>
      <c r="M27" s="4">
        <f>CONVERT(Table6[[#This Row],[Estimation Total]],"byte","Gibyte")</f>
        <v>13.258886246010661</v>
      </c>
    </row>
    <row r="28" spans="1:13" x14ac:dyDescent="0.2">
      <c r="A28" t="s">
        <v>317</v>
      </c>
      <c r="B28" t="s">
        <v>318</v>
      </c>
      <c r="C28" s="3">
        <v>1345227894</v>
      </c>
      <c r="D28" s="3">
        <v>4178500344</v>
      </c>
      <c r="E28" s="3">
        <v>6078915288</v>
      </c>
      <c r="F28" s="3">
        <v>0</v>
      </c>
      <c r="G28" s="3">
        <v>0</v>
      </c>
      <c r="H28" s="3">
        <v>0</v>
      </c>
      <c r="I28" s="3">
        <v>117116348</v>
      </c>
      <c r="J28" s="3">
        <v>3064152</v>
      </c>
      <c r="K28" s="3">
        <v>1447899269</v>
      </c>
      <c r="L28" s="3">
        <f t="shared" si="0"/>
        <v>13170723295</v>
      </c>
      <c r="M28" s="4">
        <f>CONVERT(Table6[[#This Row],[Estimation Total]],"byte","Gibyte")</f>
        <v>12.266191928647459</v>
      </c>
    </row>
    <row r="29" spans="1:13" x14ac:dyDescent="0.2">
      <c r="A29" t="s">
        <v>486</v>
      </c>
      <c r="B29" t="s">
        <v>487</v>
      </c>
      <c r="C29" s="3">
        <v>808426971</v>
      </c>
      <c r="D29" s="3">
        <v>3717458709</v>
      </c>
      <c r="E29" s="3">
        <v>3790006632</v>
      </c>
      <c r="F29" s="3">
        <v>8260</v>
      </c>
      <c r="G29" s="3">
        <v>3666222</v>
      </c>
      <c r="H29" s="3">
        <v>1685188840</v>
      </c>
      <c r="I29" s="3">
        <v>1168490084</v>
      </c>
      <c r="J29" s="3">
        <v>27988272</v>
      </c>
      <c r="K29" s="3">
        <v>1180642093</v>
      </c>
      <c r="L29" s="3">
        <f t="shared" si="0"/>
        <v>12381876083</v>
      </c>
      <c r="M29" s="4">
        <f>CONVERT(Table6[[#This Row],[Estimation Total]],"byte","Gibyte")</f>
        <v>11.531520712189376</v>
      </c>
    </row>
    <row r="30" spans="1:13" x14ac:dyDescent="0.2">
      <c r="A30" t="s">
        <v>69</v>
      </c>
      <c r="B30" t="s">
        <v>70</v>
      </c>
      <c r="C30" s="3">
        <v>548724789</v>
      </c>
      <c r="D30" s="3">
        <v>7823111838</v>
      </c>
      <c r="E30" s="3">
        <v>1896742566</v>
      </c>
      <c r="F30" s="3">
        <v>0</v>
      </c>
      <c r="G30" s="3">
        <v>0</v>
      </c>
      <c r="H30" s="3">
        <v>0</v>
      </c>
      <c r="I30" s="3">
        <v>13191454</v>
      </c>
      <c r="J30" s="3">
        <v>750984</v>
      </c>
      <c r="K30" s="3">
        <v>1873174734</v>
      </c>
      <c r="L30" s="3">
        <f t="shared" si="0"/>
        <v>12155696365</v>
      </c>
      <c r="M30" s="4">
        <f>CONVERT(Table6[[#This Row],[Estimation Total]],"byte","Gibyte")</f>
        <v>11.320874434895813</v>
      </c>
    </row>
    <row r="31" spans="1:13" x14ac:dyDescent="0.2">
      <c r="A31" t="s">
        <v>417</v>
      </c>
      <c r="B31" t="s">
        <v>418</v>
      </c>
      <c r="C31" s="3">
        <v>488882583</v>
      </c>
      <c r="D31" s="3">
        <v>7043510385</v>
      </c>
      <c r="E31" s="3">
        <v>1483169787</v>
      </c>
      <c r="F31" s="3">
        <v>0</v>
      </c>
      <c r="G31" s="3">
        <v>438522</v>
      </c>
      <c r="H31" s="3">
        <v>410441640</v>
      </c>
      <c r="I31" s="3">
        <v>149440136</v>
      </c>
      <c r="J31" s="3">
        <v>4783272</v>
      </c>
      <c r="K31" s="3">
        <v>1712102888</v>
      </c>
      <c r="L31" s="3">
        <f t="shared" si="0"/>
        <v>11292769213</v>
      </c>
      <c r="M31" s="4">
        <f>CONVERT(Table6[[#This Row],[Estimation Total]],"byte","Gibyte")</f>
        <v>10.517210897989571</v>
      </c>
    </row>
    <row r="32" spans="1:13" x14ac:dyDescent="0.2">
      <c r="A32" t="s">
        <v>490</v>
      </c>
      <c r="B32" t="s">
        <v>491</v>
      </c>
      <c r="C32" s="3">
        <v>634822875</v>
      </c>
      <c r="D32" s="3">
        <v>1306293225</v>
      </c>
      <c r="E32" s="3">
        <v>3998946213</v>
      </c>
      <c r="F32" s="3">
        <v>0</v>
      </c>
      <c r="G32" s="3">
        <v>7067550</v>
      </c>
      <c r="H32" s="3">
        <v>3877828641</v>
      </c>
      <c r="I32" s="3">
        <v>967620830</v>
      </c>
      <c r="J32" s="3">
        <v>40686672</v>
      </c>
      <c r="K32" s="3">
        <v>298910238</v>
      </c>
      <c r="L32" s="3">
        <f t="shared" si="0"/>
        <v>11132176244</v>
      </c>
      <c r="M32" s="4">
        <f>CONVERT(Table6[[#This Row],[Estimation Total]],"byte","Gibyte")</f>
        <v>10.367647040635347</v>
      </c>
    </row>
    <row r="33" spans="1:13" x14ac:dyDescent="0.2">
      <c r="A33" t="s">
        <v>794</v>
      </c>
      <c r="B33" t="s">
        <v>795</v>
      </c>
      <c r="C33" s="3">
        <v>403900236</v>
      </c>
      <c r="D33" s="3">
        <v>974744493</v>
      </c>
      <c r="E33" s="3">
        <v>4986388008</v>
      </c>
      <c r="F33" s="3">
        <v>0</v>
      </c>
      <c r="G33" s="3">
        <v>18317754</v>
      </c>
      <c r="H33" s="3">
        <v>3294407946</v>
      </c>
      <c r="I33" s="3">
        <v>978516944</v>
      </c>
      <c r="J33" s="3">
        <v>14499264</v>
      </c>
      <c r="K33" s="3">
        <v>223215994</v>
      </c>
      <c r="L33" s="3">
        <f t="shared" si="0"/>
        <v>10893990639</v>
      </c>
      <c r="M33" s="4">
        <f>CONVERT(Table6[[#This Row],[Estimation Total]],"byte","Gibyte")</f>
        <v>10.145819409750402</v>
      </c>
    </row>
    <row r="34" spans="1:13" x14ac:dyDescent="0.2">
      <c r="A34" t="s">
        <v>379</v>
      </c>
      <c r="B34" t="s">
        <v>380</v>
      </c>
      <c r="C34" s="3">
        <v>1038406464</v>
      </c>
      <c r="D34" s="3">
        <v>3729957114</v>
      </c>
      <c r="E34" s="3">
        <v>2432897685</v>
      </c>
      <c r="F34" s="3">
        <v>0</v>
      </c>
      <c r="G34" s="3">
        <v>1645014</v>
      </c>
      <c r="H34" s="3">
        <v>1810432271</v>
      </c>
      <c r="I34" s="3">
        <v>588835722</v>
      </c>
      <c r="J34" s="3">
        <v>5769192</v>
      </c>
      <c r="K34" s="3">
        <v>1061400709</v>
      </c>
      <c r="L34" s="3">
        <f t="shared" ref="L34:L65" si="1">SUM(C34:K34)</f>
        <v>10669344171</v>
      </c>
      <c r="M34" s="4">
        <f>CONVERT(Table6[[#This Row],[Estimation Total]],"byte","Gibyte")</f>
        <v>9.9366010827943683</v>
      </c>
    </row>
    <row r="35" spans="1:13" x14ac:dyDescent="0.2">
      <c r="A35" s="1" t="s">
        <v>545</v>
      </c>
      <c r="B35" t="s">
        <v>546</v>
      </c>
      <c r="C35" s="3">
        <v>1096101450</v>
      </c>
      <c r="D35" s="3">
        <v>3374687190</v>
      </c>
      <c r="E35" s="3">
        <v>4148932176</v>
      </c>
      <c r="F35" s="3">
        <v>0</v>
      </c>
      <c r="G35" s="3">
        <v>129108</v>
      </c>
      <c r="H35" s="3">
        <v>513959489</v>
      </c>
      <c r="I35" s="3">
        <v>406369694</v>
      </c>
      <c r="J35" s="3">
        <v>3982368</v>
      </c>
      <c r="K35" s="3">
        <v>1118269796</v>
      </c>
      <c r="L35" s="3">
        <f t="shared" si="1"/>
        <v>10662431271</v>
      </c>
      <c r="M35" s="4">
        <f>CONVERT(Table6[[#This Row],[Estimation Total]],"byte","Gibyte")</f>
        <v>9.9301629429683089</v>
      </c>
    </row>
    <row r="36" spans="1:13" x14ac:dyDescent="0.2">
      <c r="A36" t="s">
        <v>803</v>
      </c>
      <c r="B36" t="s">
        <v>804</v>
      </c>
      <c r="C36" s="3">
        <v>278590923</v>
      </c>
      <c r="D36" s="3">
        <v>1354943469</v>
      </c>
      <c r="E36" s="3">
        <v>2515692942</v>
      </c>
      <c r="F36" s="3">
        <v>0</v>
      </c>
      <c r="G36" s="3">
        <v>17647728</v>
      </c>
      <c r="H36" s="3">
        <v>1358566161</v>
      </c>
      <c r="I36" s="3">
        <v>4526018922</v>
      </c>
      <c r="J36" s="3">
        <v>54206256</v>
      </c>
      <c r="K36" s="3">
        <v>296369595</v>
      </c>
      <c r="L36" s="3">
        <f t="shared" si="1"/>
        <v>10402035996</v>
      </c>
      <c r="M36" s="4">
        <f>CONVERT(Table6[[#This Row],[Estimation Total]],"byte","Gibyte")</f>
        <v>9.6876509450376034</v>
      </c>
    </row>
    <row r="37" spans="1:13" x14ac:dyDescent="0.2">
      <c r="A37" t="s">
        <v>600</v>
      </c>
      <c r="B37" t="s">
        <v>601</v>
      </c>
      <c r="C37" s="3">
        <v>672487560</v>
      </c>
      <c r="D37" s="3">
        <v>7075461228</v>
      </c>
      <c r="E37" s="3">
        <v>243154107</v>
      </c>
      <c r="F37" s="3">
        <v>0</v>
      </c>
      <c r="G37" s="3">
        <v>0</v>
      </c>
      <c r="H37" s="3">
        <v>0</v>
      </c>
      <c r="I37" s="3">
        <v>9586420</v>
      </c>
      <c r="J37" s="3">
        <v>0</v>
      </c>
      <c r="K37" s="3">
        <v>1698811945</v>
      </c>
      <c r="L37" s="3">
        <f t="shared" si="1"/>
        <v>9699501260</v>
      </c>
      <c r="M37" s="4">
        <f>CONVERT(Table6[[#This Row],[Estimation Total]],"byte","Gibyte")</f>
        <v>9.0333644859492779</v>
      </c>
    </row>
    <row r="38" spans="1:13" x14ac:dyDescent="0.2">
      <c r="A38" t="s">
        <v>532</v>
      </c>
      <c r="B38" t="s">
        <v>533</v>
      </c>
      <c r="C38" s="3">
        <v>262232640</v>
      </c>
      <c r="D38" s="3">
        <v>905192379</v>
      </c>
      <c r="E38" s="3">
        <v>2382299424</v>
      </c>
      <c r="F38" s="3">
        <v>0</v>
      </c>
      <c r="G38" s="3">
        <v>616602</v>
      </c>
      <c r="H38" s="3">
        <v>5484159347</v>
      </c>
      <c r="I38" s="3">
        <v>356236768</v>
      </c>
      <c r="J38" s="3">
        <v>0</v>
      </c>
      <c r="K38" s="3">
        <v>208558853</v>
      </c>
      <c r="L38" s="3">
        <f t="shared" si="1"/>
        <v>9599296013</v>
      </c>
      <c r="M38" s="4">
        <f>CONVERT(Table6[[#This Row],[Estimation Total]],"byte","Gibyte")</f>
        <v>8.9400410773232579</v>
      </c>
    </row>
    <row r="39" spans="1:13" x14ac:dyDescent="0.2">
      <c r="A39" t="s">
        <v>366</v>
      </c>
      <c r="B39" t="s">
        <v>367</v>
      </c>
      <c r="C39" s="3">
        <v>151437447</v>
      </c>
      <c r="D39" s="3">
        <v>5344555131</v>
      </c>
      <c r="E39" s="3">
        <v>1287636345</v>
      </c>
      <c r="F39" s="3">
        <v>0</v>
      </c>
      <c r="G39" s="3">
        <v>440748</v>
      </c>
      <c r="H39" s="3">
        <v>699926716</v>
      </c>
      <c r="I39" s="3">
        <v>270674594</v>
      </c>
      <c r="J39" s="3">
        <v>11144952</v>
      </c>
      <c r="K39" s="3">
        <v>1269542019</v>
      </c>
      <c r="L39" s="3">
        <f t="shared" si="1"/>
        <v>9035357952</v>
      </c>
      <c r="M39" s="4">
        <f>CONVERT(Table6[[#This Row],[Estimation Total]],"byte","Gibyte")</f>
        <v>8.4148328304290771</v>
      </c>
    </row>
    <row r="40" spans="1:13" x14ac:dyDescent="0.2">
      <c r="A40" t="s">
        <v>85</v>
      </c>
      <c r="B40" t="s">
        <v>86</v>
      </c>
      <c r="C40" s="3">
        <v>278472690</v>
      </c>
      <c r="D40" s="3">
        <v>791490036</v>
      </c>
      <c r="E40" s="3">
        <v>3177477567</v>
      </c>
      <c r="F40" s="3">
        <v>0</v>
      </c>
      <c r="G40" s="3">
        <v>1662822</v>
      </c>
      <c r="H40" s="3">
        <v>3174551381</v>
      </c>
      <c r="I40" s="3">
        <v>538270732</v>
      </c>
      <c r="J40" s="3">
        <v>44972616</v>
      </c>
      <c r="K40" s="3">
        <v>181477533</v>
      </c>
      <c r="L40" s="3">
        <f t="shared" si="1"/>
        <v>8188375377</v>
      </c>
      <c r="M40" s="4">
        <f>CONVERT(Table6[[#This Row],[Estimation Total]],"byte","Gibyte")</f>
        <v>7.6260188380256295</v>
      </c>
    </row>
    <row r="41" spans="1:13" x14ac:dyDescent="0.2">
      <c r="A41" t="s">
        <v>470</v>
      </c>
      <c r="B41" t="s">
        <v>471</v>
      </c>
      <c r="C41" s="3">
        <v>218156193</v>
      </c>
      <c r="D41" s="3">
        <v>770924010</v>
      </c>
      <c r="E41" s="3">
        <v>3157350966</v>
      </c>
      <c r="F41" s="3">
        <v>0</v>
      </c>
      <c r="G41" s="3">
        <v>476364</v>
      </c>
      <c r="H41" s="3">
        <v>3142682701</v>
      </c>
      <c r="I41" s="3">
        <v>635768674</v>
      </c>
      <c r="J41" s="3">
        <v>10306608</v>
      </c>
      <c r="K41" s="3">
        <v>178632579</v>
      </c>
      <c r="L41" s="3">
        <f t="shared" si="1"/>
        <v>8114298095</v>
      </c>
      <c r="M41" s="4">
        <f>CONVERT(Table6[[#This Row],[Estimation Total]],"byte","Gibyte")</f>
        <v>7.5570289930328727</v>
      </c>
    </row>
    <row r="42" spans="1:13" x14ac:dyDescent="0.2">
      <c r="A42" t="s">
        <v>321</v>
      </c>
      <c r="B42" t="s">
        <v>322</v>
      </c>
      <c r="C42" s="3">
        <v>464888079</v>
      </c>
      <c r="D42" s="3">
        <v>5376320376</v>
      </c>
      <c r="E42" s="3">
        <v>864379422</v>
      </c>
      <c r="F42" s="3">
        <v>885</v>
      </c>
      <c r="G42" s="3">
        <v>0</v>
      </c>
      <c r="H42" s="3">
        <v>0</v>
      </c>
      <c r="I42" s="3">
        <v>24978700</v>
      </c>
      <c r="J42" s="3">
        <v>1399632</v>
      </c>
      <c r="K42" s="3">
        <v>1341947480</v>
      </c>
      <c r="L42" s="3">
        <f t="shared" si="1"/>
        <v>8073914574</v>
      </c>
      <c r="M42" s="4">
        <f>CONVERT(Table6[[#This Row],[Estimation Total]],"byte","Gibyte")</f>
        <v>7.5194189082831144</v>
      </c>
    </row>
    <row r="43" spans="1:13" x14ac:dyDescent="0.2">
      <c r="A43" t="s">
        <v>634</v>
      </c>
      <c r="B43" t="s">
        <v>635</v>
      </c>
      <c r="C43" s="3">
        <v>1312647228</v>
      </c>
      <c r="D43" s="3">
        <v>4259941041</v>
      </c>
      <c r="E43" s="3">
        <v>283045545</v>
      </c>
      <c r="F43" s="3">
        <v>0</v>
      </c>
      <c r="G43" s="3">
        <v>0</v>
      </c>
      <c r="H43" s="3">
        <v>0</v>
      </c>
      <c r="I43" s="3">
        <v>25545784</v>
      </c>
      <c r="J43" s="3">
        <v>0</v>
      </c>
      <c r="K43" s="3">
        <v>2123766586</v>
      </c>
      <c r="L43" s="3">
        <f t="shared" si="1"/>
        <v>8004946184</v>
      </c>
      <c r="M43" s="4">
        <f>CONVERT(Table6[[#This Row],[Estimation Total]],"byte","Gibyte")</f>
        <v>7.45518708974123</v>
      </c>
    </row>
    <row r="44" spans="1:13" x14ac:dyDescent="0.2">
      <c r="A44" t="s">
        <v>299</v>
      </c>
      <c r="B44" t="s">
        <v>300</v>
      </c>
      <c r="C44" s="3">
        <v>198015813</v>
      </c>
      <c r="D44" s="3">
        <v>898177953</v>
      </c>
      <c r="E44" s="3">
        <v>2849308920</v>
      </c>
      <c r="F44" s="3">
        <v>0</v>
      </c>
      <c r="G44" s="3">
        <v>1738506</v>
      </c>
      <c r="H44" s="3">
        <v>3074075980</v>
      </c>
      <c r="I44" s="3">
        <v>474527790</v>
      </c>
      <c r="J44" s="3">
        <v>9341904</v>
      </c>
      <c r="K44" s="3">
        <v>418761592</v>
      </c>
      <c r="L44" s="3">
        <f t="shared" si="1"/>
        <v>7923948458</v>
      </c>
      <c r="M44" s="4">
        <f>CONVERT(Table6[[#This Row],[Estimation Total]],"byte","Gibyte")</f>
        <v>7.3797520790249109</v>
      </c>
    </row>
    <row r="45" spans="1:13" x14ac:dyDescent="0.2">
      <c r="A45" t="s">
        <v>266</v>
      </c>
      <c r="B45" t="s">
        <v>267</v>
      </c>
      <c r="C45" s="3">
        <v>707364936</v>
      </c>
      <c r="D45" s="3">
        <v>2026174839</v>
      </c>
      <c r="E45" s="3">
        <v>1834915707</v>
      </c>
      <c r="F45" s="3">
        <v>0</v>
      </c>
      <c r="G45" s="3">
        <v>1348956</v>
      </c>
      <c r="H45" s="3">
        <v>1629459569</v>
      </c>
      <c r="I45" s="3">
        <v>682553104</v>
      </c>
      <c r="J45" s="3">
        <v>7673952</v>
      </c>
      <c r="K45" s="3">
        <v>463610226</v>
      </c>
      <c r="L45" s="3">
        <f t="shared" si="1"/>
        <v>7353101289</v>
      </c>
      <c r="M45" s="4">
        <f>CONVERT(Table6[[#This Row],[Estimation Total]],"byte","Gibyte")</f>
        <v>6.8481092238798738</v>
      </c>
    </row>
    <row r="46" spans="1:13" x14ac:dyDescent="0.2">
      <c r="A46" t="s">
        <v>155</v>
      </c>
      <c r="B46" t="s">
        <v>156</v>
      </c>
      <c r="C46" s="3">
        <v>131873283</v>
      </c>
      <c r="D46" s="3">
        <v>337502598</v>
      </c>
      <c r="E46" s="3">
        <v>2349629352</v>
      </c>
      <c r="F46" s="3">
        <v>0</v>
      </c>
      <c r="G46" s="3">
        <v>970536</v>
      </c>
      <c r="H46" s="3">
        <v>3841605698</v>
      </c>
      <c r="I46" s="3">
        <v>451115322</v>
      </c>
      <c r="J46" s="3">
        <v>12558936</v>
      </c>
      <c r="K46" s="3">
        <v>77331390</v>
      </c>
      <c r="L46" s="3">
        <f t="shared" si="1"/>
        <v>7202587115</v>
      </c>
      <c r="M46" s="4">
        <f>CONVERT(Table6[[#This Row],[Estimation Total]],"byte","Gibyte")</f>
        <v>6.7079319758340716</v>
      </c>
    </row>
    <row r="47" spans="1:13" x14ac:dyDescent="0.2">
      <c r="A47" t="s">
        <v>77</v>
      </c>
      <c r="B47" t="s">
        <v>78</v>
      </c>
      <c r="C47" s="3">
        <v>300430053</v>
      </c>
      <c r="D47" s="3">
        <v>935777751</v>
      </c>
      <c r="E47" s="3">
        <v>2802870945</v>
      </c>
      <c r="F47" s="3">
        <v>590</v>
      </c>
      <c r="G47" s="3">
        <v>15582</v>
      </c>
      <c r="H47" s="3">
        <v>2055724827</v>
      </c>
      <c r="I47" s="3">
        <v>359882308</v>
      </c>
      <c r="J47" s="3">
        <v>0</v>
      </c>
      <c r="K47" s="3">
        <v>329236194</v>
      </c>
      <c r="L47" s="3">
        <f t="shared" si="1"/>
        <v>6783938250</v>
      </c>
      <c r="M47" s="4">
        <f>CONVERT(Table6[[#This Row],[Estimation Total]],"byte","Gibyte")</f>
        <v>6.3180348370224237</v>
      </c>
    </row>
    <row r="48" spans="1:13" x14ac:dyDescent="0.2">
      <c r="A48" t="s">
        <v>458</v>
      </c>
      <c r="B48" t="s">
        <v>459</v>
      </c>
      <c r="C48" s="3">
        <v>319495464</v>
      </c>
      <c r="D48" s="3">
        <v>3003844710</v>
      </c>
      <c r="E48" s="3">
        <v>1046513682</v>
      </c>
      <c r="F48" s="3">
        <v>2360</v>
      </c>
      <c r="G48" s="3">
        <v>670026</v>
      </c>
      <c r="H48" s="3">
        <v>717452083</v>
      </c>
      <c r="I48" s="3">
        <v>803314992</v>
      </c>
      <c r="J48" s="3">
        <v>11301264</v>
      </c>
      <c r="K48" s="3">
        <v>785932528</v>
      </c>
      <c r="L48" s="3">
        <f t="shared" si="1"/>
        <v>6688527109</v>
      </c>
      <c r="M48" s="4">
        <f>CONVERT(Table6[[#This Row],[Estimation Total]],"byte","Gibyte")</f>
        <v>6.2291762875393033</v>
      </c>
    </row>
    <row r="49" spans="1:13" x14ac:dyDescent="0.2">
      <c r="A49" t="s">
        <v>750</v>
      </c>
      <c r="B49" t="s">
        <v>751</v>
      </c>
      <c r="C49" s="3">
        <v>254614086</v>
      </c>
      <c r="D49" s="3">
        <v>4314047277</v>
      </c>
      <c r="E49" s="3">
        <v>382565430</v>
      </c>
      <c r="F49" s="3">
        <v>0</v>
      </c>
      <c r="G49" s="3">
        <v>2377368</v>
      </c>
      <c r="H49" s="3">
        <v>349282177</v>
      </c>
      <c r="I49" s="3">
        <v>301229620</v>
      </c>
      <c r="J49" s="3">
        <v>2653248</v>
      </c>
      <c r="K49" s="3">
        <v>1024740164</v>
      </c>
      <c r="L49" s="3">
        <f t="shared" si="1"/>
        <v>6631509370</v>
      </c>
      <c r="M49" s="4">
        <f>CONVERT(Table6[[#This Row],[Estimation Total]],"byte","Gibyte")</f>
        <v>6.1760743800550699</v>
      </c>
    </row>
    <row r="50" spans="1:13" x14ac:dyDescent="0.2">
      <c r="A50" t="s">
        <v>345</v>
      </c>
      <c r="B50" t="s">
        <v>346</v>
      </c>
      <c r="C50" s="3">
        <v>826961013</v>
      </c>
      <c r="D50" s="3">
        <v>4461532875</v>
      </c>
      <c r="E50" s="3">
        <v>155635047</v>
      </c>
      <c r="F50" s="3">
        <v>0</v>
      </c>
      <c r="G50" s="3">
        <v>0</v>
      </c>
      <c r="H50" s="3">
        <v>0</v>
      </c>
      <c r="I50" s="3">
        <v>2335846</v>
      </c>
      <c r="J50" s="3">
        <v>0</v>
      </c>
      <c r="K50" s="3">
        <v>1075738374</v>
      </c>
      <c r="L50" s="3">
        <f t="shared" si="1"/>
        <v>6522203155</v>
      </c>
      <c r="M50" s="4">
        <f>CONVERT(Table6[[#This Row],[Estimation Total]],"byte","Gibyte")</f>
        <v>6.0742750344797969</v>
      </c>
    </row>
    <row r="51" spans="1:13" x14ac:dyDescent="0.2">
      <c r="A51" t="s">
        <v>213</v>
      </c>
      <c r="B51" t="s">
        <v>214</v>
      </c>
      <c r="C51" s="3">
        <v>82574199</v>
      </c>
      <c r="D51" s="3">
        <v>861087813</v>
      </c>
      <c r="E51" s="3">
        <v>2340905274</v>
      </c>
      <c r="F51" s="3">
        <v>0</v>
      </c>
      <c r="G51" s="3">
        <v>18887610</v>
      </c>
      <c r="H51" s="3">
        <v>1151701360</v>
      </c>
      <c r="I51" s="3">
        <v>1594437678</v>
      </c>
      <c r="J51" s="3">
        <v>31708560</v>
      </c>
      <c r="K51" s="3">
        <v>34890284</v>
      </c>
      <c r="L51" s="3">
        <f t="shared" si="1"/>
        <v>6116192778</v>
      </c>
      <c r="M51" s="4">
        <f>CONVERT(Table6[[#This Row],[Estimation Total]],"byte","Gibyte")</f>
        <v>5.6961484048515558</v>
      </c>
    </row>
    <row r="52" spans="1:13" x14ac:dyDescent="0.2">
      <c r="A52" t="s">
        <v>362</v>
      </c>
      <c r="B52" t="s">
        <v>363</v>
      </c>
      <c r="C52" s="3">
        <v>192876075</v>
      </c>
      <c r="D52" s="3">
        <v>381159372</v>
      </c>
      <c r="E52" s="3">
        <v>2188115640</v>
      </c>
      <c r="F52" s="3">
        <v>0</v>
      </c>
      <c r="G52" s="3">
        <v>1360086</v>
      </c>
      <c r="H52" s="3">
        <v>2157605916</v>
      </c>
      <c r="I52" s="3">
        <v>963367700</v>
      </c>
      <c r="J52" s="3">
        <v>22330776</v>
      </c>
      <c r="K52" s="3">
        <v>88764789</v>
      </c>
      <c r="L52" s="3">
        <f t="shared" si="1"/>
        <v>5995580354</v>
      </c>
      <c r="M52" s="4">
        <f>CONVERT(Table6[[#This Row],[Estimation Total]],"byte","Gibyte")</f>
        <v>5.5838193316012621</v>
      </c>
    </row>
    <row r="53" spans="1:13" x14ac:dyDescent="0.2">
      <c r="A53" t="s">
        <v>181</v>
      </c>
      <c r="B53" t="s">
        <v>182</v>
      </c>
      <c r="C53" s="3">
        <v>313885512</v>
      </c>
      <c r="D53" s="3">
        <v>1261525809</v>
      </c>
      <c r="E53" s="3">
        <v>1754124066</v>
      </c>
      <c r="F53" s="3">
        <v>1475</v>
      </c>
      <c r="G53" s="3">
        <v>13356</v>
      </c>
      <c r="H53" s="3">
        <v>919654525</v>
      </c>
      <c r="I53" s="3">
        <v>1271591356</v>
      </c>
      <c r="J53" s="3">
        <v>0</v>
      </c>
      <c r="K53" s="3">
        <v>459332011</v>
      </c>
      <c r="L53" s="3">
        <f t="shared" si="1"/>
        <v>5980128110</v>
      </c>
      <c r="M53" s="4">
        <f>CONVERT(Table6[[#This Row],[Estimation Total]],"byte","Gibyte")</f>
        <v>5.5694283079355955</v>
      </c>
    </row>
    <row r="54" spans="1:13" x14ac:dyDescent="0.2">
      <c r="A54" t="s">
        <v>186</v>
      </c>
      <c r="B54" t="s">
        <v>187</v>
      </c>
      <c r="C54" s="3">
        <v>422144811</v>
      </c>
      <c r="D54" s="3">
        <v>809417919</v>
      </c>
      <c r="E54" s="3">
        <v>2526086700</v>
      </c>
      <c r="F54" s="3">
        <v>0</v>
      </c>
      <c r="G54" s="3">
        <v>1057350</v>
      </c>
      <c r="H54" s="3">
        <v>1564814770</v>
      </c>
      <c r="I54" s="3">
        <v>285513292</v>
      </c>
      <c r="J54" s="3">
        <v>14434368</v>
      </c>
      <c r="K54" s="3">
        <v>275350568</v>
      </c>
      <c r="L54" s="3">
        <f t="shared" si="1"/>
        <v>5898819778</v>
      </c>
      <c r="M54" s="4">
        <f>CONVERT(Table6[[#This Row],[Estimation Total]],"byte","Gibyte")</f>
        <v>5.4937040228396654</v>
      </c>
    </row>
    <row r="55" spans="1:13" x14ac:dyDescent="0.2">
      <c r="A55" t="s">
        <v>616</v>
      </c>
      <c r="B55" t="s">
        <v>617</v>
      </c>
      <c r="C55" s="3">
        <v>133301592</v>
      </c>
      <c r="D55" s="3">
        <v>1504176045</v>
      </c>
      <c r="E55" s="3">
        <v>2503079901</v>
      </c>
      <c r="F55" s="3">
        <v>0</v>
      </c>
      <c r="G55" s="3">
        <v>36016680</v>
      </c>
      <c r="H55" s="3">
        <v>1213696052</v>
      </c>
      <c r="I55" s="3">
        <v>0</v>
      </c>
      <c r="J55" s="3">
        <v>83398848</v>
      </c>
      <c r="K55" s="3">
        <v>390204549</v>
      </c>
      <c r="L55" s="3">
        <f t="shared" si="1"/>
        <v>5863873667</v>
      </c>
      <c r="M55" s="4">
        <f>CONVERT(Table6[[#This Row],[Estimation Total]],"byte","Gibyte")</f>
        <v>5.4611579207703471</v>
      </c>
    </row>
    <row r="56" spans="1:13" x14ac:dyDescent="0.2">
      <c r="A56" t="s">
        <v>150</v>
      </c>
      <c r="B56" t="s">
        <v>151</v>
      </c>
      <c r="C56" s="3">
        <v>442855971</v>
      </c>
      <c r="D56" s="3">
        <v>3471186366</v>
      </c>
      <c r="E56" s="3">
        <v>135167553</v>
      </c>
      <c r="F56" s="3">
        <v>885</v>
      </c>
      <c r="G56" s="3">
        <v>4745832</v>
      </c>
      <c r="H56" s="3">
        <v>101678901</v>
      </c>
      <c r="I56" s="3">
        <v>130658854</v>
      </c>
      <c r="J56" s="3">
        <v>1230840</v>
      </c>
      <c r="K56" s="3">
        <v>1312910886</v>
      </c>
      <c r="L56" s="3">
        <f t="shared" si="1"/>
        <v>5600436088</v>
      </c>
      <c r="M56" s="4">
        <f>CONVERT(Table6[[#This Row],[Estimation Total]],"byte","Gibyte")</f>
        <v>5.2158125564455986</v>
      </c>
    </row>
    <row r="57" spans="1:13" x14ac:dyDescent="0.2">
      <c r="A57" t="s">
        <v>55</v>
      </c>
      <c r="B57" t="s">
        <v>56</v>
      </c>
      <c r="C57" s="3">
        <v>361928880</v>
      </c>
      <c r="D57" s="3">
        <v>2743525839</v>
      </c>
      <c r="E57" s="3">
        <v>1333489932</v>
      </c>
      <c r="F57" s="3">
        <v>0</v>
      </c>
      <c r="G57" s="3">
        <v>0</v>
      </c>
      <c r="H57" s="3">
        <v>0</v>
      </c>
      <c r="I57" s="3">
        <v>12394836</v>
      </c>
      <c r="J57" s="3">
        <v>1243632</v>
      </c>
      <c r="K57" s="3">
        <v>742942449</v>
      </c>
      <c r="L57" s="3">
        <f t="shared" si="1"/>
        <v>5195525568</v>
      </c>
      <c r="M57" s="4">
        <f>CONVERT(Table6[[#This Row],[Estimation Total]],"byte","Gibyte")</f>
        <v>4.8387102484703064</v>
      </c>
    </row>
    <row r="58" spans="1:13" x14ac:dyDescent="0.2">
      <c r="A58" t="s">
        <v>482</v>
      </c>
      <c r="B58" t="s">
        <v>483</v>
      </c>
      <c r="C58" s="3">
        <v>407945979</v>
      </c>
      <c r="D58" s="3">
        <v>2160621441</v>
      </c>
      <c r="E58" s="3">
        <v>1741587552</v>
      </c>
      <c r="F58" s="3">
        <v>0</v>
      </c>
      <c r="G58" s="3">
        <v>0</v>
      </c>
      <c r="H58" s="3">
        <v>0</v>
      </c>
      <c r="I58" s="3">
        <v>92178154</v>
      </c>
      <c r="J58" s="3">
        <v>20802600</v>
      </c>
      <c r="K58" s="3">
        <v>631699423</v>
      </c>
      <c r="L58" s="3">
        <f t="shared" si="1"/>
        <v>5054835149</v>
      </c>
      <c r="M58" s="4">
        <f>CONVERT(Table6[[#This Row],[Estimation Total]],"byte","Gibyte")</f>
        <v>4.707682085223496</v>
      </c>
    </row>
    <row r="59" spans="1:13" x14ac:dyDescent="0.2">
      <c r="A59" t="s">
        <v>111</v>
      </c>
      <c r="B59" t="s">
        <v>112</v>
      </c>
      <c r="C59" s="3">
        <v>118618956</v>
      </c>
      <c r="D59" s="3">
        <v>214377474</v>
      </c>
      <c r="E59" s="3">
        <v>749366298</v>
      </c>
      <c r="F59" s="3">
        <v>0</v>
      </c>
      <c r="G59" s="3">
        <v>17358348</v>
      </c>
      <c r="H59" s="3">
        <v>3754005340</v>
      </c>
      <c r="I59" s="3">
        <v>32904374</v>
      </c>
      <c r="J59" s="3">
        <v>0</v>
      </c>
      <c r="K59" s="3">
        <v>49119098</v>
      </c>
      <c r="L59" s="3">
        <f t="shared" si="1"/>
        <v>4935749888</v>
      </c>
      <c r="M59" s="4">
        <f>CONVERT(Table6[[#This Row],[Estimation Total]],"byte","Gibyte")</f>
        <v>4.5967752933502197</v>
      </c>
    </row>
    <row r="60" spans="1:13" x14ac:dyDescent="0.2">
      <c r="A60" t="s">
        <v>608</v>
      </c>
      <c r="B60" t="s">
        <v>609</v>
      </c>
      <c r="C60" s="3">
        <v>353176920</v>
      </c>
      <c r="D60" s="3">
        <v>1743653439</v>
      </c>
      <c r="E60" s="3">
        <v>2179572444</v>
      </c>
      <c r="F60" s="3">
        <v>0</v>
      </c>
      <c r="G60" s="3">
        <v>0</v>
      </c>
      <c r="H60" s="3">
        <v>0</v>
      </c>
      <c r="I60" s="3">
        <v>6062398</v>
      </c>
      <c r="J60" s="3">
        <v>0</v>
      </c>
      <c r="K60" s="3">
        <v>589720007</v>
      </c>
      <c r="L60" s="3">
        <f t="shared" si="1"/>
        <v>4872185208</v>
      </c>
      <c r="M60" s="4">
        <f>CONVERT(Table6[[#This Row],[Estimation Total]],"byte","Gibyte")</f>
        <v>4.5375760719180107</v>
      </c>
    </row>
    <row r="61" spans="1:13" x14ac:dyDescent="0.2">
      <c r="A61" t="s">
        <v>82</v>
      </c>
      <c r="B61" t="s">
        <v>83</v>
      </c>
      <c r="C61" s="3">
        <v>212441598</v>
      </c>
      <c r="D61" s="3">
        <v>1296067659</v>
      </c>
      <c r="E61" s="3">
        <v>1377159021</v>
      </c>
      <c r="F61" s="3">
        <v>0</v>
      </c>
      <c r="G61" s="3">
        <v>133560</v>
      </c>
      <c r="H61" s="3">
        <v>1397648620</v>
      </c>
      <c r="I61" s="3">
        <v>251704284</v>
      </c>
      <c r="J61" s="3">
        <v>1313520</v>
      </c>
      <c r="K61" s="3">
        <v>306977681</v>
      </c>
      <c r="L61" s="3">
        <f t="shared" si="1"/>
        <v>4843445943</v>
      </c>
      <c r="M61" s="4">
        <f>CONVERT(Table6[[#This Row],[Estimation Total]],"byte","Gibyte")</f>
        <v>4.5108105456456542</v>
      </c>
    </row>
    <row r="62" spans="1:13" x14ac:dyDescent="0.2">
      <c r="A62" t="s">
        <v>758</v>
      </c>
      <c r="B62" t="s">
        <v>759</v>
      </c>
      <c r="C62" s="3">
        <v>477888273</v>
      </c>
      <c r="D62" s="3">
        <v>1404439215</v>
      </c>
      <c r="E62" s="3">
        <v>2207762208</v>
      </c>
      <c r="F62" s="3">
        <v>0</v>
      </c>
      <c r="G62" s="3">
        <v>0</v>
      </c>
      <c r="H62" s="3">
        <v>31291</v>
      </c>
      <c r="I62" s="3">
        <v>24114572</v>
      </c>
      <c r="J62" s="3">
        <v>2496</v>
      </c>
      <c r="K62" s="3">
        <v>505864971</v>
      </c>
      <c r="L62" s="3">
        <f t="shared" si="1"/>
        <v>4620103026</v>
      </c>
      <c r="M62" s="4">
        <f>CONVERT(Table6[[#This Row],[Estimation Total]],"byte","Gibyte")</f>
        <v>4.3028062451630831</v>
      </c>
    </row>
    <row r="63" spans="1:13" x14ac:dyDescent="0.2">
      <c r="A63" t="s">
        <v>294</v>
      </c>
      <c r="B63" t="s">
        <v>295</v>
      </c>
      <c r="C63" s="3">
        <v>183834648</v>
      </c>
      <c r="D63" s="3">
        <v>723764442</v>
      </c>
      <c r="E63" s="3">
        <v>1044301356</v>
      </c>
      <c r="F63" s="3">
        <v>27939745</v>
      </c>
      <c r="G63" s="3">
        <v>373968</v>
      </c>
      <c r="H63" s="3">
        <v>1513747858</v>
      </c>
      <c r="I63" s="3">
        <v>941818508</v>
      </c>
      <c r="J63" s="3">
        <v>6009432</v>
      </c>
      <c r="K63" s="3">
        <v>171945825</v>
      </c>
      <c r="L63" s="3">
        <f t="shared" si="1"/>
        <v>4613735782</v>
      </c>
      <c r="M63" s="4">
        <f>CONVERT(Table6[[#This Row],[Estimation Total]],"byte","Gibyte")</f>
        <v>4.2968762870877981</v>
      </c>
    </row>
    <row r="64" spans="1:13" x14ac:dyDescent="0.2">
      <c r="A64" t="s">
        <v>239</v>
      </c>
      <c r="B64" t="s">
        <v>240</v>
      </c>
      <c r="C64" s="3">
        <v>414826596</v>
      </c>
      <c r="D64" s="3">
        <v>2104189338</v>
      </c>
      <c r="E64" s="3">
        <v>1338478101</v>
      </c>
      <c r="F64" s="3">
        <v>0</v>
      </c>
      <c r="G64" s="3">
        <v>0</v>
      </c>
      <c r="H64" s="3">
        <v>0</v>
      </c>
      <c r="I64" s="3">
        <v>86196768</v>
      </c>
      <c r="J64" s="3">
        <v>1232088</v>
      </c>
      <c r="K64" s="3">
        <v>633077753</v>
      </c>
      <c r="L64" s="3">
        <f t="shared" si="1"/>
        <v>4578000644</v>
      </c>
      <c r="M64" s="4">
        <f>CONVERT(Table6[[#This Row],[Estimation Total]],"byte","Gibyte")</f>
        <v>4.2635953463613987</v>
      </c>
    </row>
    <row r="65" spans="1:13" x14ac:dyDescent="0.2">
      <c r="A65" t="s">
        <v>26</v>
      </c>
      <c r="B65" t="s">
        <v>27</v>
      </c>
      <c r="C65" s="3">
        <v>202476051</v>
      </c>
      <c r="D65" s="3">
        <v>1973749296</v>
      </c>
      <c r="E65" s="3">
        <v>910657386</v>
      </c>
      <c r="F65" s="3">
        <v>885</v>
      </c>
      <c r="G65" s="3">
        <v>213696</v>
      </c>
      <c r="H65" s="3">
        <v>615272526</v>
      </c>
      <c r="I65" s="3">
        <v>304537610</v>
      </c>
      <c r="J65" s="3">
        <v>3519048</v>
      </c>
      <c r="K65" s="3">
        <v>495677461</v>
      </c>
      <c r="L65" s="3">
        <f t="shared" si="1"/>
        <v>4506103959</v>
      </c>
      <c r="M65" s="4">
        <f>CONVERT(Table6[[#This Row],[Estimation Total]],"byte","Gibyte")</f>
        <v>4.1966363405808806</v>
      </c>
    </row>
    <row r="66" spans="1:13" x14ac:dyDescent="0.2">
      <c r="A66" t="s">
        <v>329</v>
      </c>
      <c r="B66" t="s">
        <v>330</v>
      </c>
      <c r="C66" s="3">
        <v>99451620</v>
      </c>
      <c r="D66" s="3">
        <v>360600711</v>
      </c>
      <c r="E66" s="3">
        <v>2896609563</v>
      </c>
      <c r="F66" s="3">
        <v>885</v>
      </c>
      <c r="G66" s="3">
        <v>545370</v>
      </c>
      <c r="H66" s="3">
        <v>816748054</v>
      </c>
      <c r="I66" s="3">
        <v>199667576</v>
      </c>
      <c r="J66" s="3">
        <v>2512848</v>
      </c>
      <c r="K66" s="3">
        <v>101500356</v>
      </c>
      <c r="L66" s="3">
        <f t="shared" ref="L66:L97" si="2">SUM(C66:K66)</f>
        <v>4477636983</v>
      </c>
      <c r="M66" s="4">
        <f>CONVERT(Table6[[#This Row],[Estimation Total]],"byte","Gibyte")</f>
        <v>4.1701244032010436</v>
      </c>
    </row>
    <row r="67" spans="1:13" x14ac:dyDescent="0.2">
      <c r="A67" s="1" t="s">
        <v>727</v>
      </c>
      <c r="B67" t="s">
        <v>728</v>
      </c>
      <c r="C67" s="3">
        <v>81962649</v>
      </c>
      <c r="D67" s="3">
        <v>246782001</v>
      </c>
      <c r="E67" s="3">
        <v>1061860824</v>
      </c>
      <c r="F67" s="3">
        <v>0</v>
      </c>
      <c r="G67" s="3">
        <v>523110</v>
      </c>
      <c r="H67" s="3">
        <v>1212993208</v>
      </c>
      <c r="I67" s="3">
        <v>1672992314</v>
      </c>
      <c r="J67" s="3">
        <v>38285520</v>
      </c>
      <c r="K67" s="3">
        <v>56491310</v>
      </c>
      <c r="L67" s="3">
        <f t="shared" si="2"/>
        <v>4371890936</v>
      </c>
      <c r="M67" s="4">
        <f>CONVERT(Table6[[#This Row],[Estimation Total]],"byte","Gibyte")</f>
        <v>4.0716407224535942</v>
      </c>
    </row>
    <row r="68" spans="1:13" x14ac:dyDescent="0.2">
      <c r="A68" t="s">
        <v>770</v>
      </c>
      <c r="B68" t="s">
        <v>771</v>
      </c>
      <c r="C68" s="3">
        <v>712877040</v>
      </c>
      <c r="D68" s="3">
        <v>2179315284</v>
      </c>
      <c r="E68" s="3">
        <v>742562352</v>
      </c>
      <c r="F68" s="3">
        <v>0</v>
      </c>
      <c r="G68" s="3">
        <v>0</v>
      </c>
      <c r="H68" s="3">
        <v>0</v>
      </c>
      <c r="I68" s="3">
        <v>4455660</v>
      </c>
      <c r="J68" s="3">
        <v>28660320</v>
      </c>
      <c r="K68" s="3">
        <v>652113872</v>
      </c>
      <c r="L68" s="3">
        <f t="shared" si="2"/>
        <v>4319984528</v>
      </c>
      <c r="M68" s="4">
        <f>CONVERT(Table6[[#This Row],[Estimation Total]],"byte","Gibyte")</f>
        <v>4.0232991129159927</v>
      </c>
    </row>
    <row r="69" spans="1:13" x14ac:dyDescent="0.2">
      <c r="A69" t="s">
        <v>104</v>
      </c>
      <c r="B69" t="s">
        <v>105</v>
      </c>
      <c r="C69" s="3">
        <v>216350082</v>
      </c>
      <c r="D69" s="3">
        <v>2855990862</v>
      </c>
      <c r="E69" s="3">
        <v>510511617</v>
      </c>
      <c r="F69" s="3">
        <v>13865</v>
      </c>
      <c r="G69" s="3">
        <v>0</v>
      </c>
      <c r="H69" s="3">
        <v>0</v>
      </c>
      <c r="I69" s="3">
        <v>2281838</v>
      </c>
      <c r="J69" s="3">
        <v>487344</v>
      </c>
      <c r="K69" s="3">
        <v>720376592</v>
      </c>
      <c r="L69" s="3">
        <f t="shared" si="2"/>
        <v>4306012200</v>
      </c>
      <c r="M69" s="4">
        <f>CONVERT(Table6[[#This Row],[Estimation Total]],"byte","Gibyte")</f>
        <v>4.0102863684296608</v>
      </c>
    </row>
    <row r="70" spans="1:13" x14ac:dyDescent="0.2">
      <c r="A70" t="s">
        <v>825</v>
      </c>
      <c r="B70" t="s">
        <v>826</v>
      </c>
      <c r="C70" s="3">
        <v>94250727</v>
      </c>
      <c r="D70" s="3">
        <v>121990914</v>
      </c>
      <c r="E70" s="3">
        <v>1839277746</v>
      </c>
      <c r="F70" s="3">
        <v>0</v>
      </c>
      <c r="G70" s="3">
        <v>2123604</v>
      </c>
      <c r="H70" s="3">
        <v>1534845213</v>
      </c>
      <c r="I70" s="3">
        <v>480509176</v>
      </c>
      <c r="J70" s="3">
        <v>4850352</v>
      </c>
      <c r="K70" s="3">
        <v>33923768</v>
      </c>
      <c r="L70" s="3">
        <f t="shared" si="2"/>
        <v>4111771500</v>
      </c>
      <c r="M70" s="4">
        <f>CONVERT(Table6[[#This Row],[Estimation Total]],"byte","Gibyte")</f>
        <v>3.829385619610548</v>
      </c>
    </row>
    <row r="71" spans="1:13" x14ac:dyDescent="0.2">
      <c r="A71" t="s">
        <v>421</v>
      </c>
      <c r="B71" t="s">
        <v>422</v>
      </c>
      <c r="C71" s="3">
        <v>479254068</v>
      </c>
      <c r="D71" s="3">
        <v>1767308346</v>
      </c>
      <c r="E71" s="3">
        <v>266515713</v>
      </c>
      <c r="F71" s="3">
        <v>56003685</v>
      </c>
      <c r="G71" s="3">
        <v>233730</v>
      </c>
      <c r="H71" s="3">
        <v>114804272</v>
      </c>
      <c r="I71" s="3">
        <v>804665192</v>
      </c>
      <c r="J71" s="3">
        <v>42003312</v>
      </c>
      <c r="K71" s="3">
        <v>519277908</v>
      </c>
      <c r="L71" s="3">
        <f t="shared" si="2"/>
        <v>4050066226</v>
      </c>
      <c r="M71" s="4">
        <f>CONVERT(Table6[[#This Row],[Estimation Total]],"byte","Gibyte")</f>
        <v>3.7719181049615145</v>
      </c>
    </row>
    <row r="72" spans="1:13" x14ac:dyDescent="0.2">
      <c r="A72" t="s">
        <v>572</v>
      </c>
      <c r="B72" t="s">
        <v>573</v>
      </c>
      <c r="C72" s="3">
        <v>104834619</v>
      </c>
      <c r="D72" s="3">
        <v>966925809</v>
      </c>
      <c r="E72" s="3">
        <v>1543340880</v>
      </c>
      <c r="F72" s="3">
        <v>0</v>
      </c>
      <c r="G72" s="3">
        <v>6542214</v>
      </c>
      <c r="H72" s="3">
        <v>998105876</v>
      </c>
      <c r="I72" s="3">
        <v>152842640</v>
      </c>
      <c r="J72" s="3">
        <v>33241728</v>
      </c>
      <c r="K72" s="3">
        <v>215637538</v>
      </c>
      <c r="L72" s="3">
        <f t="shared" si="2"/>
        <v>4021471304</v>
      </c>
      <c r="M72" s="4">
        <f>CONVERT(Table6[[#This Row],[Estimation Total]],"byte","Gibyte")</f>
        <v>3.7452870085835457</v>
      </c>
    </row>
    <row r="73" spans="1:13" x14ac:dyDescent="0.2">
      <c r="A73" t="s">
        <v>258</v>
      </c>
      <c r="B73" t="s">
        <v>259</v>
      </c>
      <c r="C73" s="3">
        <v>169694253</v>
      </c>
      <c r="D73" s="3">
        <v>428461821</v>
      </c>
      <c r="E73" s="3">
        <v>1841323104</v>
      </c>
      <c r="F73" s="3">
        <v>0</v>
      </c>
      <c r="G73" s="3">
        <v>954954</v>
      </c>
      <c r="H73" s="3">
        <v>1141871172</v>
      </c>
      <c r="I73" s="3">
        <v>137436858</v>
      </c>
      <c r="J73" s="3">
        <v>34337472</v>
      </c>
      <c r="K73" s="3">
        <v>83837175</v>
      </c>
      <c r="L73" s="3">
        <f t="shared" si="2"/>
        <v>3837916809</v>
      </c>
      <c r="M73" s="4">
        <f>CONVERT(Table6[[#This Row],[Estimation Total]],"byte","Gibyte")</f>
        <v>3.5743385637179017</v>
      </c>
    </row>
    <row r="74" spans="1:13" x14ac:dyDescent="0.2">
      <c r="A74" t="s">
        <v>41</v>
      </c>
      <c r="B74" t="s">
        <v>42</v>
      </c>
      <c r="C74" s="3">
        <v>397862199</v>
      </c>
      <c r="D74" s="3">
        <v>1181229633</v>
      </c>
      <c r="E74" s="3">
        <v>1536975225</v>
      </c>
      <c r="F74" s="3">
        <v>295</v>
      </c>
      <c r="G74" s="3">
        <v>0</v>
      </c>
      <c r="H74" s="3">
        <v>0</v>
      </c>
      <c r="I74" s="3">
        <v>29704400</v>
      </c>
      <c r="J74" s="3">
        <v>1735032</v>
      </c>
      <c r="K74" s="3">
        <v>508893253</v>
      </c>
      <c r="L74" s="3">
        <f t="shared" si="2"/>
        <v>3656400037</v>
      </c>
      <c r="M74" s="4">
        <f>CONVERT(Table6[[#This Row],[Estimation Total]],"byte","Gibyte")</f>
        <v>3.4052878962829709</v>
      </c>
    </row>
    <row r="75" spans="1:13" x14ac:dyDescent="0.2">
      <c r="A75" t="s">
        <v>280</v>
      </c>
      <c r="B75" t="s">
        <v>281</v>
      </c>
      <c r="C75" s="3">
        <v>167621778</v>
      </c>
      <c r="D75" s="3">
        <v>1414963800</v>
      </c>
      <c r="E75" s="3">
        <v>893619693</v>
      </c>
      <c r="F75" s="3">
        <v>0</v>
      </c>
      <c r="G75" s="3">
        <v>227052</v>
      </c>
      <c r="H75" s="3">
        <v>503729739</v>
      </c>
      <c r="I75" s="3">
        <v>176808690</v>
      </c>
      <c r="J75" s="3">
        <v>6094920</v>
      </c>
      <c r="K75" s="3">
        <v>485680019</v>
      </c>
      <c r="L75" s="3">
        <f t="shared" si="2"/>
        <v>3648745691</v>
      </c>
      <c r="M75" s="4">
        <f>CONVERT(Table6[[#This Row],[Estimation Total]],"byte","Gibyte")</f>
        <v>3.3981592310592532</v>
      </c>
    </row>
    <row r="76" spans="1:13" x14ac:dyDescent="0.2">
      <c r="A76" t="s">
        <v>511</v>
      </c>
      <c r="B76" t="s">
        <v>512</v>
      </c>
      <c r="C76" s="3">
        <v>325006209</v>
      </c>
      <c r="D76" s="3">
        <v>2163433398</v>
      </c>
      <c r="E76" s="3">
        <v>455328693</v>
      </c>
      <c r="F76" s="3">
        <v>1180</v>
      </c>
      <c r="G76" s="3">
        <v>0</v>
      </c>
      <c r="H76" s="3">
        <v>416411</v>
      </c>
      <c r="I76" s="3">
        <v>28880778</v>
      </c>
      <c r="J76" s="3">
        <v>1144728</v>
      </c>
      <c r="K76" s="3">
        <v>615022304</v>
      </c>
      <c r="L76" s="3">
        <f t="shared" si="2"/>
        <v>3589233701</v>
      </c>
      <c r="M76" s="4">
        <f>CONVERT(Table6[[#This Row],[Estimation Total]],"byte","Gibyte")</f>
        <v>3.3427343713119626</v>
      </c>
    </row>
    <row r="77" spans="1:13" x14ac:dyDescent="0.2">
      <c r="A77" t="s">
        <v>357</v>
      </c>
      <c r="B77" t="s">
        <v>358</v>
      </c>
      <c r="C77" s="3">
        <v>154458504</v>
      </c>
      <c r="D77" s="3">
        <v>367095168</v>
      </c>
      <c r="E77" s="3">
        <v>886488768</v>
      </c>
      <c r="F77" s="3">
        <v>6282025</v>
      </c>
      <c r="G77" s="3">
        <v>961632</v>
      </c>
      <c r="H77" s="3">
        <v>871897238</v>
      </c>
      <c r="I77" s="3">
        <v>1123568930</v>
      </c>
      <c r="J77" s="3">
        <v>4647864</v>
      </c>
      <c r="K77" s="3">
        <v>84193047</v>
      </c>
      <c r="L77" s="3">
        <f t="shared" si="2"/>
        <v>3499593176</v>
      </c>
      <c r="M77" s="4">
        <f>CONVERT(Table6[[#This Row],[Estimation Total]],"byte","Gibyte")</f>
        <v>3.2592501267790794</v>
      </c>
    </row>
    <row r="78" spans="1:13" x14ac:dyDescent="0.2">
      <c r="A78" t="s">
        <v>466</v>
      </c>
      <c r="B78" t="s">
        <v>467</v>
      </c>
      <c r="C78" s="3">
        <v>94003389</v>
      </c>
      <c r="D78" s="3">
        <v>394404588</v>
      </c>
      <c r="E78" s="3">
        <v>1327437342</v>
      </c>
      <c r="F78" s="3">
        <v>0</v>
      </c>
      <c r="G78" s="3">
        <v>1725150</v>
      </c>
      <c r="H78" s="3">
        <v>1421836563</v>
      </c>
      <c r="I78" s="3">
        <v>120181302</v>
      </c>
      <c r="J78" s="3">
        <v>6226584</v>
      </c>
      <c r="K78" s="3">
        <v>110614184</v>
      </c>
      <c r="L78" s="3">
        <f t="shared" si="2"/>
        <v>3476429102</v>
      </c>
      <c r="M78" s="4">
        <f>CONVERT(Table6[[#This Row],[Estimation Total]],"byte","Gibyte")</f>
        <v>3.237676901742816</v>
      </c>
    </row>
    <row r="79" spans="1:13" x14ac:dyDescent="0.2">
      <c r="A79" t="s">
        <v>642</v>
      </c>
      <c r="B79" t="s">
        <v>643</v>
      </c>
      <c r="C79" s="3">
        <v>57496572</v>
      </c>
      <c r="D79" s="3">
        <v>354741117</v>
      </c>
      <c r="E79" s="3">
        <v>969687531</v>
      </c>
      <c r="F79" s="3">
        <v>0</v>
      </c>
      <c r="G79" s="3">
        <v>511980</v>
      </c>
      <c r="H79" s="3">
        <v>1226272627</v>
      </c>
      <c r="I79" s="3">
        <v>661044418</v>
      </c>
      <c r="J79" s="3">
        <v>40832064</v>
      </c>
      <c r="K79" s="3">
        <v>81180604</v>
      </c>
      <c r="L79" s="3">
        <f t="shared" si="2"/>
        <v>3391766913</v>
      </c>
      <c r="M79" s="4">
        <f>CONVERT(Table6[[#This Row],[Estimation Total]],"byte","Gibyte")</f>
        <v>3.1588290939107537</v>
      </c>
    </row>
    <row r="80" spans="1:13" x14ac:dyDescent="0.2">
      <c r="A80" t="s">
        <v>222</v>
      </c>
      <c r="B80" t="s">
        <v>223</v>
      </c>
      <c r="C80" s="3">
        <v>47552769</v>
      </c>
      <c r="D80" s="3">
        <v>234754956</v>
      </c>
      <c r="E80" s="3">
        <v>1068247350</v>
      </c>
      <c r="F80" s="3">
        <v>0</v>
      </c>
      <c r="G80" s="3">
        <v>2085762</v>
      </c>
      <c r="H80" s="3">
        <v>928300469</v>
      </c>
      <c r="I80" s="3">
        <v>956967752</v>
      </c>
      <c r="J80" s="3">
        <v>1750320</v>
      </c>
      <c r="K80" s="3">
        <v>70154638</v>
      </c>
      <c r="L80" s="3">
        <f t="shared" si="2"/>
        <v>3309814016</v>
      </c>
      <c r="M80" s="4">
        <f>CONVERT(Table6[[#This Row],[Estimation Total]],"byte","Gibyte")</f>
        <v>3.0825045108795166</v>
      </c>
    </row>
    <row r="81" spans="1:13" x14ac:dyDescent="0.2">
      <c r="A81" t="s">
        <v>253</v>
      </c>
      <c r="B81" t="s">
        <v>254</v>
      </c>
      <c r="C81" s="3">
        <v>336535965</v>
      </c>
      <c r="D81" s="3">
        <v>859106628</v>
      </c>
      <c r="E81" s="3">
        <v>1725781248</v>
      </c>
      <c r="F81" s="3">
        <v>0</v>
      </c>
      <c r="G81" s="3">
        <v>0</v>
      </c>
      <c r="H81" s="3">
        <v>96280</v>
      </c>
      <c r="I81" s="3">
        <v>26085864</v>
      </c>
      <c r="J81" s="3">
        <v>2184</v>
      </c>
      <c r="K81" s="3">
        <v>290963441</v>
      </c>
      <c r="L81" s="3">
        <f t="shared" si="2"/>
        <v>3238571610</v>
      </c>
      <c r="M81" s="4">
        <f>CONVERT(Table6[[#This Row],[Estimation Total]],"byte","Gibyte")</f>
        <v>3.0161548499017954</v>
      </c>
    </row>
    <row r="82" spans="1:13" x14ac:dyDescent="0.2">
      <c r="A82" t="s">
        <v>435</v>
      </c>
      <c r="B82" t="s">
        <v>436</v>
      </c>
      <c r="C82" s="3">
        <v>174310776</v>
      </c>
      <c r="D82" s="3">
        <v>309537693</v>
      </c>
      <c r="E82" s="3">
        <v>1184777100</v>
      </c>
      <c r="F82" s="3">
        <v>18761115</v>
      </c>
      <c r="G82" s="3">
        <v>469686</v>
      </c>
      <c r="H82" s="3">
        <v>1089328769</v>
      </c>
      <c r="I82" s="3">
        <v>307116492</v>
      </c>
      <c r="J82" s="3">
        <v>6018168</v>
      </c>
      <c r="K82" s="3">
        <v>70889972</v>
      </c>
      <c r="L82" s="3">
        <f t="shared" si="2"/>
        <v>3161209771</v>
      </c>
      <c r="M82" s="4">
        <f>CONVERT(Table6[[#This Row],[Estimation Total]],"byte","Gibyte")</f>
        <v>2.9441060228273273</v>
      </c>
    </row>
    <row r="83" spans="1:13" x14ac:dyDescent="0.2">
      <c r="A83" t="s">
        <v>73</v>
      </c>
      <c r="B83" t="s">
        <v>74</v>
      </c>
      <c r="C83" s="3">
        <v>526434471</v>
      </c>
      <c r="D83" s="3">
        <v>1401977832</v>
      </c>
      <c r="E83" s="3">
        <v>631194696</v>
      </c>
      <c r="F83" s="3">
        <v>295</v>
      </c>
      <c r="G83" s="3">
        <v>24486</v>
      </c>
      <c r="H83" s="3">
        <v>31300628</v>
      </c>
      <c r="I83" s="3">
        <v>118169504</v>
      </c>
      <c r="J83" s="3">
        <v>762528</v>
      </c>
      <c r="K83" s="3">
        <v>425816350</v>
      </c>
      <c r="L83" s="3">
        <f t="shared" si="2"/>
        <v>3135680790</v>
      </c>
      <c r="M83" s="4">
        <f>CONVERT(Table6[[#This Row],[Estimation Total]],"byte","Gibyte")</f>
        <v>2.9203303065150976</v>
      </c>
    </row>
    <row r="84" spans="1:13" x14ac:dyDescent="0.2">
      <c r="A84" t="s">
        <v>520</v>
      </c>
      <c r="B84" t="s">
        <v>521</v>
      </c>
      <c r="C84" s="3">
        <v>242137107</v>
      </c>
      <c r="D84" s="3">
        <v>1809137127</v>
      </c>
      <c r="E84" s="3">
        <v>278940915</v>
      </c>
      <c r="F84" s="3">
        <v>0</v>
      </c>
      <c r="G84" s="3">
        <v>124656</v>
      </c>
      <c r="H84" s="3">
        <v>199087784</v>
      </c>
      <c r="I84" s="3">
        <v>47040968</v>
      </c>
      <c r="J84" s="3">
        <v>3620760</v>
      </c>
      <c r="K84" s="3">
        <v>455064580</v>
      </c>
      <c r="L84" s="3">
        <f t="shared" si="2"/>
        <v>3035153897</v>
      </c>
      <c r="M84" s="4">
        <f>CONVERT(Table6[[#This Row],[Estimation Total]],"byte","Gibyte")</f>
        <v>2.8267073417082429</v>
      </c>
    </row>
    <row r="85" spans="1:13" x14ac:dyDescent="0.2">
      <c r="A85" t="s">
        <v>709</v>
      </c>
      <c r="B85" t="s">
        <v>710</v>
      </c>
      <c r="C85" s="3">
        <v>70716924</v>
      </c>
      <c r="D85" s="3">
        <v>474918768</v>
      </c>
      <c r="E85" s="3">
        <v>1451578050</v>
      </c>
      <c r="F85" s="3">
        <v>0</v>
      </c>
      <c r="G85" s="3">
        <v>3152016</v>
      </c>
      <c r="H85" s="3">
        <v>780556402</v>
      </c>
      <c r="I85" s="3">
        <v>0</v>
      </c>
      <c r="J85" s="3">
        <v>29491176</v>
      </c>
      <c r="K85" s="3">
        <v>30880995</v>
      </c>
      <c r="L85" s="3">
        <f t="shared" si="2"/>
        <v>2841294331</v>
      </c>
      <c r="M85" s="4">
        <f>CONVERT(Table6[[#This Row],[Estimation Total]],"byte","Gibyte")</f>
        <v>2.6461615515872836</v>
      </c>
    </row>
    <row r="86" spans="1:13" x14ac:dyDescent="0.2">
      <c r="A86" t="s">
        <v>199</v>
      </c>
      <c r="B86" t="s">
        <v>200</v>
      </c>
      <c r="C86" s="3">
        <v>67863024</v>
      </c>
      <c r="D86" s="3">
        <v>93464796</v>
      </c>
      <c r="E86" s="3">
        <v>1372358691</v>
      </c>
      <c r="F86" s="3">
        <v>0</v>
      </c>
      <c r="G86" s="3">
        <v>487494</v>
      </c>
      <c r="H86" s="3">
        <v>771722712</v>
      </c>
      <c r="I86" s="3">
        <v>309830394</v>
      </c>
      <c r="J86" s="3">
        <v>92976</v>
      </c>
      <c r="K86" s="3">
        <v>22507219</v>
      </c>
      <c r="L86" s="3">
        <f t="shared" si="2"/>
        <v>2638327306</v>
      </c>
      <c r="M86" s="4">
        <f>CONVERT(Table6[[#This Row],[Estimation Total]],"byte","Gibyte")</f>
        <v>2.4571337793022394</v>
      </c>
    </row>
    <row r="87" spans="1:13" x14ac:dyDescent="0.2">
      <c r="A87" t="s">
        <v>353</v>
      </c>
      <c r="B87" t="s">
        <v>354</v>
      </c>
      <c r="C87" s="3">
        <v>126524259</v>
      </c>
      <c r="D87" s="3">
        <v>244755153</v>
      </c>
      <c r="E87" s="3">
        <v>1093445604</v>
      </c>
      <c r="F87" s="3">
        <v>0</v>
      </c>
      <c r="G87" s="3">
        <v>244860</v>
      </c>
      <c r="H87" s="3">
        <v>837376044</v>
      </c>
      <c r="I87" s="3">
        <v>246695042</v>
      </c>
      <c r="J87" s="3">
        <v>4765176</v>
      </c>
      <c r="K87" s="3">
        <v>55997268</v>
      </c>
      <c r="L87" s="3">
        <f t="shared" si="2"/>
        <v>2609803406</v>
      </c>
      <c r="M87" s="4">
        <f>CONVERT(Table6[[#This Row],[Estimation Total]],"byte","Gibyte")</f>
        <v>2.430568827316165</v>
      </c>
    </row>
    <row r="88" spans="1:13" x14ac:dyDescent="0.2">
      <c r="A88" t="s">
        <v>333</v>
      </c>
      <c r="B88" t="s">
        <v>334</v>
      </c>
      <c r="C88" s="3">
        <v>132660144</v>
      </c>
      <c r="D88" s="3">
        <v>344645175</v>
      </c>
      <c r="E88" s="3">
        <v>955272627</v>
      </c>
      <c r="F88" s="3">
        <v>0</v>
      </c>
      <c r="G88" s="3">
        <v>8904</v>
      </c>
      <c r="H88" s="3">
        <v>863920440</v>
      </c>
      <c r="I88" s="3">
        <v>156920244</v>
      </c>
      <c r="J88" s="3">
        <v>0</v>
      </c>
      <c r="K88" s="3">
        <v>78849912</v>
      </c>
      <c r="L88" s="3">
        <f t="shared" si="2"/>
        <v>2532277446</v>
      </c>
      <c r="M88" s="4">
        <f>CONVERT(Table6[[#This Row],[Estimation Total]],"byte","Gibyte")</f>
        <v>2.3583671506494284</v>
      </c>
    </row>
    <row r="89" spans="1:13" x14ac:dyDescent="0.2">
      <c r="A89" t="s">
        <v>688</v>
      </c>
      <c r="B89" t="s">
        <v>689</v>
      </c>
      <c r="C89" s="3">
        <v>62925777</v>
      </c>
      <c r="D89" s="3">
        <v>261534096</v>
      </c>
      <c r="E89" s="3">
        <v>1259161344</v>
      </c>
      <c r="F89" s="3">
        <v>0</v>
      </c>
      <c r="G89" s="3">
        <v>115752</v>
      </c>
      <c r="H89" s="3">
        <v>756618787</v>
      </c>
      <c r="I89" s="3">
        <v>63486404</v>
      </c>
      <c r="J89" s="3">
        <v>61151376</v>
      </c>
      <c r="K89" s="3">
        <v>64240288</v>
      </c>
      <c r="L89" s="3">
        <f t="shared" si="2"/>
        <v>2529233824</v>
      </c>
      <c r="M89" s="4">
        <f>CONVERT(Table6[[#This Row],[Estimation Total]],"byte","Gibyte")</f>
        <v>2.3555325567722321</v>
      </c>
    </row>
    <row r="90" spans="1:13" x14ac:dyDescent="0.2">
      <c r="A90" t="s">
        <v>384</v>
      </c>
      <c r="B90" t="s">
        <v>385</v>
      </c>
      <c r="C90" s="3">
        <v>325521270</v>
      </c>
      <c r="D90" s="3">
        <v>1480037994</v>
      </c>
      <c r="E90" s="3">
        <v>217239282</v>
      </c>
      <c r="F90" s="3">
        <v>0</v>
      </c>
      <c r="G90" s="3">
        <v>0</v>
      </c>
      <c r="H90" s="3">
        <v>0</v>
      </c>
      <c r="I90" s="3">
        <v>7493610</v>
      </c>
      <c r="J90" s="3">
        <v>0</v>
      </c>
      <c r="K90" s="3">
        <v>388329818</v>
      </c>
      <c r="L90" s="3">
        <f t="shared" si="2"/>
        <v>2418621974</v>
      </c>
      <c r="M90" s="4">
        <f>CONVERT(Table6[[#This Row],[Estimation Total]],"byte","Gibyte")</f>
        <v>2.2525172438472509</v>
      </c>
    </row>
    <row r="91" spans="1:13" x14ac:dyDescent="0.2">
      <c r="A91" t="s">
        <v>123</v>
      </c>
      <c r="B91" t="s">
        <v>124</v>
      </c>
      <c r="C91" s="3">
        <v>383254308</v>
      </c>
      <c r="D91" s="3">
        <v>726001929</v>
      </c>
      <c r="E91" s="3">
        <v>460003797</v>
      </c>
      <c r="F91" s="3">
        <v>0</v>
      </c>
      <c r="G91" s="3">
        <v>57876</v>
      </c>
      <c r="H91" s="3">
        <v>456376828</v>
      </c>
      <c r="I91" s="3">
        <v>171731938</v>
      </c>
      <c r="J91" s="3">
        <v>1395888</v>
      </c>
      <c r="K91" s="3">
        <v>185265750</v>
      </c>
      <c r="L91" s="3">
        <f t="shared" si="2"/>
        <v>2384088314</v>
      </c>
      <c r="M91" s="4">
        <f>CONVERT(Table6[[#This Row],[Estimation Total]],"byte","Gibyte")</f>
        <v>2.2203552667051554</v>
      </c>
    </row>
    <row r="92" spans="1:13" x14ac:dyDescent="0.2">
      <c r="A92" t="s">
        <v>821</v>
      </c>
      <c r="B92" t="s">
        <v>822</v>
      </c>
      <c r="C92" s="3">
        <v>47274174</v>
      </c>
      <c r="D92" s="3">
        <v>329306826</v>
      </c>
      <c r="E92" s="3">
        <v>1220967414</v>
      </c>
      <c r="F92" s="3">
        <v>0</v>
      </c>
      <c r="G92" s="3">
        <v>26266800</v>
      </c>
      <c r="H92" s="3">
        <v>575939739</v>
      </c>
      <c r="I92" s="3">
        <v>0</v>
      </c>
      <c r="J92" s="3">
        <v>51025416</v>
      </c>
      <c r="K92" s="3">
        <v>88062818</v>
      </c>
      <c r="L92" s="3">
        <f t="shared" si="2"/>
        <v>2338843187</v>
      </c>
      <c r="M92" s="4">
        <f>CONVERT(Table6[[#This Row],[Estimation Total]],"byte","Gibyte")</f>
        <v>2.1782174585387111</v>
      </c>
    </row>
    <row r="93" spans="1:13" x14ac:dyDescent="0.2">
      <c r="A93" t="s">
        <v>647</v>
      </c>
      <c r="B93" t="s">
        <v>648</v>
      </c>
      <c r="C93" s="3">
        <v>291160314</v>
      </c>
      <c r="D93" s="3">
        <v>1087408371</v>
      </c>
      <c r="E93" s="3">
        <v>566814618</v>
      </c>
      <c r="F93" s="3">
        <v>0</v>
      </c>
      <c r="G93" s="3">
        <v>0</v>
      </c>
      <c r="H93" s="3">
        <v>0</v>
      </c>
      <c r="I93" s="3">
        <v>5063250</v>
      </c>
      <c r="J93" s="3">
        <v>0</v>
      </c>
      <c r="K93" s="3">
        <v>378082659</v>
      </c>
      <c r="L93" s="3">
        <f t="shared" si="2"/>
        <v>2328529212</v>
      </c>
      <c r="M93" s="4">
        <f>CONVERT(Table6[[#This Row],[Estimation Total]],"byte","Gibyte")</f>
        <v>2.1686118207871914</v>
      </c>
    </row>
    <row r="94" spans="1:13" x14ac:dyDescent="0.2">
      <c r="A94" t="s">
        <v>524</v>
      </c>
      <c r="B94" t="s">
        <v>525</v>
      </c>
      <c r="C94" s="3">
        <v>465495552</v>
      </c>
      <c r="D94" s="3">
        <v>1124595729</v>
      </c>
      <c r="E94" s="3">
        <v>34757172</v>
      </c>
      <c r="F94" s="3">
        <v>0</v>
      </c>
      <c r="G94" s="3">
        <v>24486</v>
      </c>
      <c r="H94" s="3">
        <v>29680717</v>
      </c>
      <c r="I94" s="3">
        <v>22548340</v>
      </c>
      <c r="J94" s="3">
        <v>1633632</v>
      </c>
      <c r="K94" s="3">
        <v>633347353</v>
      </c>
      <c r="L94" s="3">
        <f t="shared" si="2"/>
        <v>2312082981</v>
      </c>
      <c r="M94" s="4">
        <f>CONVERT(Table6[[#This Row],[Estimation Total]],"byte","Gibyte")</f>
        <v>2.1532950745895505</v>
      </c>
    </row>
    <row r="95" spans="1:13" x14ac:dyDescent="0.2">
      <c r="A95" t="s">
        <v>235</v>
      </c>
      <c r="B95" t="s">
        <v>236</v>
      </c>
      <c r="C95" s="3">
        <v>92314152</v>
      </c>
      <c r="D95" s="3">
        <v>206642751</v>
      </c>
      <c r="E95" s="3">
        <v>911902689</v>
      </c>
      <c r="F95" s="3">
        <v>0</v>
      </c>
      <c r="G95" s="3">
        <v>2620002</v>
      </c>
      <c r="H95" s="3">
        <v>925173776</v>
      </c>
      <c r="I95" s="3">
        <v>78176580</v>
      </c>
      <c r="J95" s="3">
        <v>4807296</v>
      </c>
      <c r="K95" s="3">
        <v>47277730</v>
      </c>
      <c r="L95" s="3">
        <f t="shared" si="2"/>
        <v>2268914976</v>
      </c>
      <c r="M95" s="4">
        <f>CONVERT(Table6[[#This Row],[Estimation Total]],"byte","Gibyte")</f>
        <v>2.1130917370319366</v>
      </c>
    </row>
    <row r="96" spans="1:13" x14ac:dyDescent="0.2">
      <c r="A96" t="s">
        <v>498</v>
      </c>
      <c r="B96" t="s">
        <v>499</v>
      </c>
      <c r="C96" s="3">
        <v>102800196</v>
      </c>
      <c r="D96" s="3">
        <v>239472975</v>
      </c>
      <c r="E96" s="3">
        <v>859050360</v>
      </c>
      <c r="F96" s="3">
        <v>0</v>
      </c>
      <c r="G96" s="3">
        <v>138012</v>
      </c>
      <c r="H96" s="3">
        <v>815106480</v>
      </c>
      <c r="I96" s="3">
        <v>130145778</v>
      </c>
      <c r="J96" s="3">
        <v>5824728</v>
      </c>
      <c r="K96" s="3">
        <v>71275163</v>
      </c>
      <c r="L96" s="3">
        <f t="shared" si="2"/>
        <v>2223813692</v>
      </c>
      <c r="M96" s="4">
        <f>CONVERT(Table6[[#This Row],[Estimation Total]],"byte","Gibyte")</f>
        <v>2.0710878930985928</v>
      </c>
    </row>
    <row r="97" spans="1:13" x14ac:dyDescent="0.2">
      <c r="A97" t="s">
        <v>612</v>
      </c>
      <c r="B97" t="s">
        <v>613</v>
      </c>
      <c r="C97" s="3">
        <v>76932990</v>
      </c>
      <c r="D97" s="3">
        <v>173363262</v>
      </c>
      <c r="E97" s="3">
        <v>815082120</v>
      </c>
      <c r="F97" s="3">
        <v>0</v>
      </c>
      <c r="G97" s="3">
        <v>255990</v>
      </c>
      <c r="H97" s="3">
        <v>856287843</v>
      </c>
      <c r="I97" s="3">
        <v>246627532</v>
      </c>
      <c r="J97" s="3">
        <v>15328248</v>
      </c>
      <c r="K97" s="3">
        <v>39812843</v>
      </c>
      <c r="L97" s="3">
        <f t="shared" si="2"/>
        <v>2223690828</v>
      </c>
      <c r="M97" s="4">
        <f>CONVERT(Table6[[#This Row],[Estimation Total]],"byte","Gibyte")</f>
        <v>2.0709734670817852</v>
      </c>
    </row>
    <row r="98" spans="1:13" x14ac:dyDescent="0.2">
      <c r="A98" t="s">
        <v>494</v>
      </c>
      <c r="B98" t="s">
        <v>495</v>
      </c>
      <c r="C98" s="3">
        <v>183629439</v>
      </c>
      <c r="D98" s="3">
        <v>1173833700</v>
      </c>
      <c r="E98" s="3">
        <v>255829761</v>
      </c>
      <c r="F98" s="3">
        <v>0</v>
      </c>
      <c r="G98" s="3">
        <v>66780</v>
      </c>
      <c r="H98" s="3">
        <v>214492584</v>
      </c>
      <c r="I98" s="3">
        <v>93906410</v>
      </c>
      <c r="J98" s="3">
        <v>980928</v>
      </c>
      <c r="K98" s="3">
        <v>269754346</v>
      </c>
      <c r="L98" s="3">
        <f t="shared" ref="L98:L129" si="3">SUM(C98:K98)</f>
        <v>2192493948</v>
      </c>
      <c r="M98" s="4">
        <f>CONVERT(Table6[[#This Row],[Estimation Total]],"byte","Gibyte")</f>
        <v>2.0419191084802151</v>
      </c>
    </row>
    <row r="99" spans="1:13" x14ac:dyDescent="0.2">
      <c r="A99" t="s">
        <v>586</v>
      </c>
      <c r="B99" t="s">
        <v>587</v>
      </c>
      <c r="C99" s="3">
        <v>325907226</v>
      </c>
      <c r="D99" s="3">
        <v>1458567546</v>
      </c>
      <c r="E99" s="3">
        <v>8751906</v>
      </c>
      <c r="F99" s="3">
        <v>0</v>
      </c>
      <c r="G99" s="3">
        <v>13356</v>
      </c>
      <c r="H99" s="3">
        <v>4392775</v>
      </c>
      <c r="I99" s="3">
        <v>6372944</v>
      </c>
      <c r="J99" s="3">
        <v>261456</v>
      </c>
      <c r="K99" s="3">
        <v>357552282</v>
      </c>
      <c r="L99" s="3">
        <f t="shared" si="3"/>
        <v>2161819491</v>
      </c>
      <c r="M99" s="4">
        <f>CONVERT(Table6[[#This Row],[Estimation Total]],"byte","Gibyte")</f>
        <v>2.0133512942120433</v>
      </c>
    </row>
    <row r="100" spans="1:13" x14ac:dyDescent="0.2">
      <c r="A100" t="s">
        <v>308</v>
      </c>
      <c r="B100" t="s">
        <v>309</v>
      </c>
      <c r="C100" s="3">
        <v>91101924</v>
      </c>
      <c r="D100" s="3">
        <v>495085611</v>
      </c>
      <c r="E100" s="3">
        <v>635007132</v>
      </c>
      <c r="F100" s="3">
        <v>2360</v>
      </c>
      <c r="G100" s="3">
        <v>329448</v>
      </c>
      <c r="H100" s="3">
        <v>621747356</v>
      </c>
      <c r="I100" s="3">
        <v>85764704</v>
      </c>
      <c r="J100" s="3">
        <v>3017976</v>
      </c>
      <c r="K100" s="3">
        <v>113910718</v>
      </c>
      <c r="L100" s="3">
        <f t="shared" si="3"/>
        <v>2045967229</v>
      </c>
      <c r="M100" s="4">
        <f>CONVERT(Table6[[#This Row],[Estimation Total]],"byte","Gibyte")</f>
        <v>1.9054554672911763</v>
      </c>
    </row>
    <row r="101" spans="1:13" x14ac:dyDescent="0.2">
      <c r="A101" t="s">
        <v>577</v>
      </c>
      <c r="B101" t="s">
        <v>578</v>
      </c>
      <c r="C101" s="3">
        <v>218398095</v>
      </c>
      <c r="D101" s="3">
        <v>1016850198</v>
      </c>
      <c r="E101" s="3">
        <v>466619904</v>
      </c>
      <c r="F101" s="3">
        <v>0</v>
      </c>
      <c r="G101" s="3">
        <v>0</v>
      </c>
      <c r="H101" s="3">
        <v>12035</v>
      </c>
      <c r="I101" s="3">
        <v>4563676</v>
      </c>
      <c r="J101" s="3">
        <v>936</v>
      </c>
      <c r="K101" s="3">
        <v>267976334</v>
      </c>
      <c r="L101" s="3">
        <f t="shared" si="3"/>
        <v>1974421178</v>
      </c>
      <c r="M101" s="4">
        <f>CONVERT(Table6[[#This Row],[Estimation Total]],"byte","Gibyte")</f>
        <v>1.838823014870286</v>
      </c>
    </row>
    <row r="102" spans="1:13" x14ac:dyDescent="0.2">
      <c r="A102" t="s">
        <v>808</v>
      </c>
      <c r="B102" t="s">
        <v>809</v>
      </c>
      <c r="C102" s="3">
        <v>272301471</v>
      </c>
      <c r="D102" s="3">
        <v>961508115</v>
      </c>
      <c r="E102" s="3">
        <v>248636223</v>
      </c>
      <c r="F102" s="3">
        <v>0</v>
      </c>
      <c r="G102" s="3">
        <v>0</v>
      </c>
      <c r="H102" s="3">
        <v>0</v>
      </c>
      <c r="I102" s="3">
        <v>6332438</v>
      </c>
      <c r="J102" s="3">
        <v>0</v>
      </c>
      <c r="K102" s="3">
        <v>331274370</v>
      </c>
      <c r="L102" s="3">
        <f t="shared" si="3"/>
        <v>1820052617</v>
      </c>
      <c r="M102" s="4">
        <f>CONVERT(Table6[[#This Row],[Estimation Total]],"byte","Gibyte")</f>
        <v>1.6950560892000794</v>
      </c>
    </row>
    <row r="103" spans="1:13" x14ac:dyDescent="0.2">
      <c r="A103" t="s">
        <v>21</v>
      </c>
      <c r="B103" t="s">
        <v>22</v>
      </c>
      <c r="C103" s="3">
        <v>76530726</v>
      </c>
      <c r="D103" s="3">
        <v>191279361</v>
      </c>
      <c r="E103" s="3">
        <v>789445575</v>
      </c>
      <c r="F103" s="3">
        <v>0</v>
      </c>
      <c r="G103" s="3">
        <v>40068</v>
      </c>
      <c r="H103" s="3">
        <v>507089911</v>
      </c>
      <c r="I103" s="3">
        <v>184896388</v>
      </c>
      <c r="J103" s="3">
        <v>0</v>
      </c>
      <c r="K103" s="3">
        <v>46852099</v>
      </c>
      <c r="L103" s="3">
        <f t="shared" si="3"/>
        <v>1796134128</v>
      </c>
      <c r="M103" s="4">
        <f>CONVERT(Table6[[#This Row],[Estimation Total]],"byte","Gibyte")</f>
        <v>1.6727802604436874</v>
      </c>
    </row>
    <row r="104" spans="1:13" x14ac:dyDescent="0.2">
      <c r="A104" t="s">
        <v>581</v>
      </c>
      <c r="B104" t="s">
        <v>582</v>
      </c>
      <c r="C104" s="3">
        <v>196474707</v>
      </c>
      <c r="D104" s="3">
        <v>1035890196</v>
      </c>
      <c r="E104" s="3">
        <v>217997595</v>
      </c>
      <c r="F104" s="3">
        <v>0</v>
      </c>
      <c r="G104" s="3">
        <v>0</v>
      </c>
      <c r="H104" s="3">
        <v>190153</v>
      </c>
      <c r="I104" s="3">
        <v>6548470</v>
      </c>
      <c r="J104" s="3">
        <v>0</v>
      </c>
      <c r="K104" s="3">
        <v>288118150</v>
      </c>
      <c r="L104" s="3">
        <f t="shared" si="3"/>
        <v>1745219271</v>
      </c>
      <c r="M104" s="4">
        <f>CONVERT(Table6[[#This Row],[Estimation Total]],"byte","Gibyte")</f>
        <v>1.6253621047362685</v>
      </c>
    </row>
    <row r="105" spans="1:13" x14ac:dyDescent="0.2">
      <c r="A105" t="s">
        <v>439</v>
      </c>
      <c r="B105" t="s">
        <v>440</v>
      </c>
      <c r="C105" s="3">
        <v>59433147</v>
      </c>
      <c r="D105" s="3">
        <v>84478023</v>
      </c>
      <c r="E105" s="3">
        <v>698058423</v>
      </c>
      <c r="F105" s="3">
        <v>295</v>
      </c>
      <c r="G105" s="3">
        <v>3421362</v>
      </c>
      <c r="H105" s="3">
        <v>539009138</v>
      </c>
      <c r="I105" s="3">
        <v>324844618</v>
      </c>
      <c r="J105" s="3">
        <v>2879448</v>
      </c>
      <c r="K105" s="3">
        <v>19404123</v>
      </c>
      <c r="L105" s="3">
        <f t="shared" si="3"/>
        <v>1731528577</v>
      </c>
      <c r="M105" s="4">
        <f>CONVERT(Table6[[#This Row],[Estimation Total]],"byte","Gibyte")</f>
        <v>1.6126116523519158</v>
      </c>
    </row>
    <row r="106" spans="1:13" x14ac:dyDescent="0.2">
      <c r="A106" t="s">
        <v>262</v>
      </c>
      <c r="B106" t="s">
        <v>263</v>
      </c>
      <c r="C106" s="3">
        <v>168749748</v>
      </c>
      <c r="D106" s="3">
        <v>388475763</v>
      </c>
      <c r="E106" s="3">
        <v>580839930</v>
      </c>
      <c r="F106" s="3">
        <v>0</v>
      </c>
      <c r="G106" s="3">
        <v>0</v>
      </c>
      <c r="H106" s="3">
        <v>13688609</v>
      </c>
      <c r="I106" s="3">
        <v>432023494</v>
      </c>
      <c r="J106" s="3">
        <v>0</v>
      </c>
      <c r="K106" s="3">
        <v>111377489</v>
      </c>
      <c r="L106" s="3">
        <f t="shared" si="3"/>
        <v>1695155033</v>
      </c>
      <c r="M106" s="4">
        <f>CONVERT(Table6[[#This Row],[Estimation Total]],"byte","Gibyte")</f>
        <v>1.5787361497059464</v>
      </c>
    </row>
    <row r="107" spans="1:13" x14ac:dyDescent="0.2">
      <c r="A107" t="s">
        <v>243</v>
      </c>
      <c r="B107" t="s">
        <v>244</v>
      </c>
      <c r="C107" s="3">
        <v>100726362</v>
      </c>
      <c r="D107" s="3">
        <v>171364401</v>
      </c>
      <c r="E107" s="3">
        <v>637191630</v>
      </c>
      <c r="F107" s="3">
        <v>0</v>
      </c>
      <c r="G107" s="3">
        <v>391776</v>
      </c>
      <c r="H107" s="3">
        <v>541534081</v>
      </c>
      <c r="I107" s="3">
        <v>158513480</v>
      </c>
      <c r="J107" s="3">
        <v>11839152</v>
      </c>
      <c r="K107" s="3">
        <v>39207591</v>
      </c>
      <c r="L107" s="3">
        <f t="shared" si="3"/>
        <v>1660768473</v>
      </c>
      <c r="M107" s="4">
        <f>CONVERT(Table6[[#This Row],[Estimation Total]],"byte","Gibyte")</f>
        <v>1.5467111701145768</v>
      </c>
    </row>
    <row r="108" spans="1:13" x14ac:dyDescent="0.2">
      <c r="A108" t="s">
        <v>218</v>
      </c>
      <c r="B108" t="s">
        <v>219</v>
      </c>
      <c r="C108" s="3">
        <v>166921893</v>
      </c>
      <c r="D108" s="3">
        <v>296684295</v>
      </c>
      <c r="E108" s="3">
        <v>489417993</v>
      </c>
      <c r="F108" s="3">
        <v>0</v>
      </c>
      <c r="G108" s="3">
        <v>195888</v>
      </c>
      <c r="H108" s="3">
        <v>504817703</v>
      </c>
      <c r="I108" s="3">
        <v>125339066</v>
      </c>
      <c r="J108" s="3">
        <v>1095432</v>
      </c>
      <c r="K108" s="3">
        <v>67983010</v>
      </c>
      <c r="L108" s="3">
        <f t="shared" si="3"/>
        <v>1652455280</v>
      </c>
      <c r="M108" s="4">
        <f>CONVERT(Table6[[#This Row],[Estimation Total]],"byte","Gibyte")</f>
        <v>1.5389689058065414</v>
      </c>
    </row>
    <row r="109" spans="1:13" x14ac:dyDescent="0.2">
      <c r="A109" t="s">
        <v>430</v>
      </c>
      <c r="B109" t="s">
        <v>431</v>
      </c>
      <c r="C109" s="3">
        <v>34567524</v>
      </c>
      <c r="D109" s="3">
        <v>67036230</v>
      </c>
      <c r="E109" s="3">
        <v>633525291</v>
      </c>
      <c r="F109" s="3">
        <v>0</v>
      </c>
      <c r="G109" s="3">
        <v>574308</v>
      </c>
      <c r="H109" s="3">
        <v>440921481</v>
      </c>
      <c r="I109" s="3">
        <v>447672312</v>
      </c>
      <c r="J109" s="3">
        <v>0</v>
      </c>
      <c r="K109" s="3">
        <v>16453688</v>
      </c>
      <c r="L109" s="3">
        <f t="shared" si="3"/>
        <v>1640750834</v>
      </c>
      <c r="M109" s="4">
        <f>CONVERT(Table6[[#This Row],[Estimation Total]],"byte","Gibyte")</f>
        <v>1.5280682910233736</v>
      </c>
    </row>
    <row r="110" spans="1:13" x14ac:dyDescent="0.2">
      <c r="A110" t="s">
        <v>119</v>
      </c>
      <c r="B110" t="s">
        <v>120</v>
      </c>
      <c r="C110" s="3">
        <v>109274472</v>
      </c>
      <c r="D110" s="3">
        <v>161001846</v>
      </c>
      <c r="E110" s="3">
        <v>621663606</v>
      </c>
      <c r="F110" s="3">
        <v>0</v>
      </c>
      <c r="G110" s="3">
        <v>373968</v>
      </c>
      <c r="H110" s="3">
        <v>654718442</v>
      </c>
      <c r="I110" s="3">
        <v>0</v>
      </c>
      <c r="J110" s="3">
        <v>9253920</v>
      </c>
      <c r="K110" s="3">
        <v>36891390</v>
      </c>
      <c r="L110" s="3">
        <f t="shared" si="3"/>
        <v>1593177644</v>
      </c>
      <c r="M110" s="4">
        <f>CONVERT(Table6[[#This Row],[Estimation Total]],"byte","Gibyte")</f>
        <v>1.4837623052299023</v>
      </c>
    </row>
    <row r="111" spans="1:13" x14ac:dyDescent="0.2">
      <c r="A111" t="s">
        <v>604</v>
      </c>
      <c r="B111" t="s">
        <v>605</v>
      </c>
      <c r="C111" s="3">
        <v>102797478</v>
      </c>
      <c r="D111" s="3">
        <v>896648979</v>
      </c>
      <c r="E111" s="3">
        <v>240955695</v>
      </c>
      <c r="F111" s="3">
        <v>0</v>
      </c>
      <c r="G111" s="3">
        <v>31164</v>
      </c>
      <c r="H111" s="3">
        <v>78942379</v>
      </c>
      <c r="I111" s="3">
        <v>25410764</v>
      </c>
      <c r="J111" s="3">
        <v>1498224</v>
      </c>
      <c r="K111" s="3">
        <v>224575115</v>
      </c>
      <c r="L111" s="3">
        <f t="shared" si="3"/>
        <v>1570859798</v>
      </c>
      <c r="M111" s="4">
        <f>CONVERT(Table6[[#This Row],[Estimation Total]],"byte","Gibyte")</f>
        <v>1.4629771914333105</v>
      </c>
    </row>
    <row r="112" spans="1:13" x14ac:dyDescent="0.2">
      <c r="A112" t="s">
        <v>173</v>
      </c>
      <c r="B112" t="s">
        <v>174</v>
      </c>
      <c r="C112" s="3">
        <v>78465942</v>
      </c>
      <c r="D112" s="3">
        <v>156494466</v>
      </c>
      <c r="E112" s="3">
        <v>609892362</v>
      </c>
      <c r="F112" s="3">
        <v>34784040</v>
      </c>
      <c r="G112" s="3">
        <v>652218</v>
      </c>
      <c r="H112" s="3">
        <v>534171068</v>
      </c>
      <c r="I112" s="3">
        <v>104991552</v>
      </c>
      <c r="J112" s="3">
        <v>11393616</v>
      </c>
      <c r="K112" s="3">
        <v>35821415</v>
      </c>
      <c r="L112" s="3">
        <f t="shared" si="3"/>
        <v>1566666679</v>
      </c>
      <c r="M112" s="4">
        <f>CONVERT(Table6[[#This Row],[Estimation Total]],"byte","Gibyte")</f>
        <v>1.4590720450505614</v>
      </c>
    </row>
    <row r="113" spans="1:13" x14ac:dyDescent="0.2">
      <c r="A113" t="s">
        <v>31</v>
      </c>
      <c r="B113" t="s">
        <v>32</v>
      </c>
      <c r="C113" s="3">
        <v>275041215</v>
      </c>
      <c r="D113" s="3">
        <v>853406118</v>
      </c>
      <c r="E113" s="3">
        <v>133435260</v>
      </c>
      <c r="F113" s="3">
        <v>0</v>
      </c>
      <c r="G113" s="3">
        <v>0</v>
      </c>
      <c r="H113" s="3">
        <v>0</v>
      </c>
      <c r="I113" s="3">
        <v>8317232</v>
      </c>
      <c r="J113" s="3">
        <v>211224</v>
      </c>
      <c r="K113" s="3">
        <v>227859180</v>
      </c>
      <c r="L113" s="3">
        <f t="shared" si="3"/>
        <v>1498270229</v>
      </c>
      <c r="M113" s="4">
        <f>CONVERT(Table6[[#This Row],[Estimation Total]],"byte","Gibyte")</f>
        <v>1.3953728871420026</v>
      </c>
    </row>
    <row r="114" spans="1:13" x14ac:dyDescent="0.2">
      <c r="A114" t="s">
        <v>515</v>
      </c>
      <c r="B114" t="s">
        <v>516</v>
      </c>
      <c r="C114" s="3">
        <v>142561818</v>
      </c>
      <c r="D114" s="3">
        <v>584045973</v>
      </c>
      <c r="E114" s="3">
        <v>202768722</v>
      </c>
      <c r="F114" s="3">
        <v>0</v>
      </c>
      <c r="G114" s="3">
        <v>779100</v>
      </c>
      <c r="H114" s="3">
        <v>173438792</v>
      </c>
      <c r="I114" s="3">
        <v>117251368</v>
      </c>
      <c r="J114" s="3">
        <v>4310592</v>
      </c>
      <c r="K114" s="3">
        <v>161314486</v>
      </c>
      <c r="L114" s="3">
        <f t="shared" si="3"/>
        <v>1386470851</v>
      </c>
      <c r="M114" s="4">
        <f>CONVERT(Table6[[#This Row],[Estimation Total]],"byte","Gibyte")</f>
        <v>1.2912516025826335</v>
      </c>
    </row>
    <row r="115" spans="1:13" x14ac:dyDescent="0.2">
      <c r="A115" t="s">
        <v>554</v>
      </c>
      <c r="B115" t="s">
        <v>555</v>
      </c>
      <c r="C115" s="3">
        <v>36533997</v>
      </c>
      <c r="D115" s="3">
        <v>115455213</v>
      </c>
      <c r="E115" s="3">
        <v>513287460</v>
      </c>
      <c r="F115" s="3">
        <v>0</v>
      </c>
      <c r="G115" s="3">
        <v>494172</v>
      </c>
      <c r="H115" s="3">
        <v>614918697</v>
      </c>
      <c r="I115" s="3">
        <v>46338864</v>
      </c>
      <c r="J115" s="3">
        <v>2947464</v>
      </c>
      <c r="K115" s="3">
        <v>26416419</v>
      </c>
      <c r="L115" s="3">
        <f t="shared" si="3"/>
        <v>1356392286</v>
      </c>
      <c r="M115" s="4">
        <f>CONVERT(Table6[[#This Row],[Estimation Total]],"byte","Gibyte")</f>
        <v>1.2632387559860945</v>
      </c>
    </row>
    <row r="116" spans="1:13" x14ac:dyDescent="0.2">
      <c r="A116" t="s">
        <v>127</v>
      </c>
      <c r="B116" t="s">
        <v>128</v>
      </c>
      <c r="C116" s="3">
        <v>78711921</v>
      </c>
      <c r="D116" s="3">
        <v>119556045</v>
      </c>
      <c r="E116" s="3">
        <v>505022544</v>
      </c>
      <c r="F116" s="3">
        <v>0</v>
      </c>
      <c r="G116" s="3">
        <v>102396</v>
      </c>
      <c r="H116" s="3">
        <v>458868073</v>
      </c>
      <c r="I116" s="3">
        <v>136518722</v>
      </c>
      <c r="J116" s="3">
        <v>796848</v>
      </c>
      <c r="K116" s="3">
        <v>27369455</v>
      </c>
      <c r="L116" s="3">
        <f t="shared" si="3"/>
        <v>1326946004</v>
      </c>
      <c r="M116" s="4">
        <f>CONVERT(Table6[[#This Row],[Estimation Total]],"byte","Gibyte")</f>
        <v>1.2358147688210011</v>
      </c>
    </row>
    <row r="117" spans="1:13" x14ac:dyDescent="0.2">
      <c r="A117" t="s">
        <v>115</v>
      </c>
      <c r="B117" t="s">
        <v>116</v>
      </c>
      <c r="C117" s="3">
        <v>126738981</v>
      </c>
      <c r="D117" s="3">
        <v>718161150</v>
      </c>
      <c r="E117" s="3">
        <v>181327248</v>
      </c>
      <c r="F117" s="3">
        <v>0</v>
      </c>
      <c r="G117" s="3">
        <v>0</v>
      </c>
      <c r="H117" s="3">
        <v>0</v>
      </c>
      <c r="I117" s="3">
        <v>85872720</v>
      </c>
      <c r="J117" s="3">
        <v>306072</v>
      </c>
      <c r="K117" s="3">
        <v>201117893</v>
      </c>
      <c r="L117" s="3">
        <f t="shared" si="3"/>
        <v>1313524064</v>
      </c>
      <c r="M117" s="4">
        <f>CONVERT(Table6[[#This Row],[Estimation Total]],"byte","Gibyte")</f>
        <v>1.2233146131038666</v>
      </c>
    </row>
    <row r="118" spans="1:13" x14ac:dyDescent="0.2">
      <c r="A118" t="s">
        <v>462</v>
      </c>
      <c r="B118" t="s">
        <v>463</v>
      </c>
      <c r="C118" s="3">
        <v>153300636</v>
      </c>
      <c r="D118" s="3">
        <v>353041275</v>
      </c>
      <c r="E118" s="3">
        <v>318011427</v>
      </c>
      <c r="F118" s="3">
        <v>885</v>
      </c>
      <c r="G118" s="3">
        <v>658896</v>
      </c>
      <c r="H118" s="3">
        <v>313285492</v>
      </c>
      <c r="I118" s="3">
        <v>89909818</v>
      </c>
      <c r="J118" s="3">
        <v>1577160</v>
      </c>
      <c r="K118" s="3">
        <v>80953129</v>
      </c>
      <c r="L118" s="3">
        <f t="shared" si="3"/>
        <v>1310738718</v>
      </c>
      <c r="M118" s="4">
        <f>CONVERT(Table6[[#This Row],[Estimation Total]],"byte","Gibyte")</f>
        <v>1.2207205574959517</v>
      </c>
    </row>
    <row r="119" spans="1:13" x14ac:dyDescent="0.2">
      <c r="A119" t="s">
        <v>474</v>
      </c>
      <c r="B119" t="s">
        <v>475</v>
      </c>
      <c r="C119" s="3">
        <v>5929317</v>
      </c>
      <c r="D119" s="3">
        <v>6523917</v>
      </c>
      <c r="E119" s="3">
        <v>1203686226</v>
      </c>
      <c r="F119" s="3">
        <v>7375</v>
      </c>
      <c r="G119" s="3">
        <v>249312</v>
      </c>
      <c r="H119" s="3">
        <v>2861923</v>
      </c>
      <c r="I119" s="3">
        <v>61447602</v>
      </c>
      <c r="J119" s="3">
        <v>312</v>
      </c>
      <c r="K119" s="3">
        <v>1656355</v>
      </c>
      <c r="L119" s="3">
        <f t="shared" si="3"/>
        <v>1282362339</v>
      </c>
      <c r="M119" s="4">
        <f>CONVERT(Table6[[#This Row],[Estimation Total]],"byte","Gibyte")</f>
        <v>1.1942929951474071</v>
      </c>
    </row>
    <row r="120" spans="1:13" x14ac:dyDescent="0.2">
      <c r="A120" t="s">
        <v>325</v>
      </c>
      <c r="B120" t="s">
        <v>326</v>
      </c>
      <c r="C120" s="3">
        <v>76885425</v>
      </c>
      <c r="D120" s="3">
        <v>267370122</v>
      </c>
      <c r="E120" s="3">
        <v>842290947</v>
      </c>
      <c r="F120" s="3">
        <v>0</v>
      </c>
      <c r="G120" s="3">
        <v>0</v>
      </c>
      <c r="H120" s="3">
        <v>0</v>
      </c>
      <c r="I120" s="3">
        <v>0</v>
      </c>
      <c r="J120" s="3">
        <v>1248</v>
      </c>
      <c r="K120" s="3">
        <v>81439083</v>
      </c>
      <c r="L120" s="3">
        <f t="shared" si="3"/>
        <v>1267986825</v>
      </c>
      <c r="M120" s="4">
        <f>CONVERT(Table6[[#This Row],[Estimation Total]],"byte","Gibyte")</f>
        <v>1.1809047544375062</v>
      </c>
    </row>
    <row r="121" spans="1:13" x14ac:dyDescent="0.2">
      <c r="A121" t="s">
        <v>735</v>
      </c>
      <c r="B121" t="s">
        <v>736</v>
      </c>
      <c r="C121" s="3">
        <v>126870804</v>
      </c>
      <c r="D121" s="3">
        <v>716573256</v>
      </c>
      <c r="E121" s="3">
        <v>107388252</v>
      </c>
      <c r="F121" s="3">
        <v>0</v>
      </c>
      <c r="G121" s="3">
        <v>40068</v>
      </c>
      <c r="H121" s="3">
        <v>91947400</v>
      </c>
      <c r="I121" s="3">
        <v>16972014</v>
      </c>
      <c r="J121" s="3">
        <v>4405440</v>
      </c>
      <c r="K121" s="3">
        <v>201222026</v>
      </c>
      <c r="L121" s="3">
        <f t="shared" si="3"/>
        <v>1265419260</v>
      </c>
      <c r="M121" s="4">
        <f>CONVERT(Table6[[#This Row],[Estimation Total]],"byte","Gibyte")</f>
        <v>1.1785135231912136</v>
      </c>
    </row>
    <row r="122" spans="1:13" x14ac:dyDescent="0.2">
      <c r="A122" t="s">
        <v>478</v>
      </c>
      <c r="B122" t="s">
        <v>479</v>
      </c>
      <c r="C122" s="3">
        <v>145493181</v>
      </c>
      <c r="D122" s="3">
        <v>262297110</v>
      </c>
      <c r="E122" s="3">
        <v>452559807</v>
      </c>
      <c r="F122" s="3">
        <v>0</v>
      </c>
      <c r="G122" s="3">
        <v>0</v>
      </c>
      <c r="H122" s="3">
        <v>201942486</v>
      </c>
      <c r="I122" s="3">
        <v>102736718</v>
      </c>
      <c r="J122" s="3">
        <v>0</v>
      </c>
      <c r="K122" s="3">
        <v>80610400</v>
      </c>
      <c r="L122" s="3">
        <f t="shared" si="3"/>
        <v>1245639702</v>
      </c>
      <c r="M122" s="4">
        <f>CONVERT(Table6[[#This Row],[Estimation Total]],"byte","Gibyte")</f>
        <v>1.1600923743098974</v>
      </c>
    </row>
    <row r="123" spans="1:13" x14ac:dyDescent="0.2">
      <c r="A123" t="s">
        <v>36</v>
      </c>
      <c r="B123" t="s">
        <v>37</v>
      </c>
      <c r="C123" s="3">
        <v>79973073</v>
      </c>
      <c r="D123" s="3">
        <v>756126252</v>
      </c>
      <c r="E123" s="3">
        <v>84054474</v>
      </c>
      <c r="F123" s="3">
        <v>0</v>
      </c>
      <c r="G123" s="3">
        <v>42294</v>
      </c>
      <c r="H123" s="3">
        <v>69728383</v>
      </c>
      <c r="I123" s="3">
        <v>22116276</v>
      </c>
      <c r="J123" s="3">
        <v>637416</v>
      </c>
      <c r="K123" s="3">
        <v>194363065</v>
      </c>
      <c r="L123" s="3">
        <f t="shared" si="3"/>
        <v>1207041233</v>
      </c>
      <c r="M123" s="4">
        <f>CONVERT(Table6[[#This Row],[Estimation Total]],"byte","Gibyte")</f>
        <v>1.1241447487846017</v>
      </c>
    </row>
    <row r="124" spans="1:13" x14ac:dyDescent="0.2">
      <c r="A124" t="s">
        <v>231</v>
      </c>
      <c r="B124" t="s">
        <v>232</v>
      </c>
      <c r="C124" s="3">
        <v>72229491</v>
      </c>
      <c r="D124" s="3">
        <v>139970352</v>
      </c>
      <c r="E124" s="3">
        <v>653304042</v>
      </c>
      <c r="F124" s="3">
        <v>0</v>
      </c>
      <c r="G124" s="3">
        <v>26712</v>
      </c>
      <c r="H124" s="3">
        <v>114334907</v>
      </c>
      <c r="I124" s="3">
        <v>145673078</v>
      </c>
      <c r="J124" s="3">
        <v>360048</v>
      </c>
      <c r="K124" s="3">
        <v>71865924</v>
      </c>
      <c r="L124" s="3">
        <f t="shared" si="3"/>
        <v>1197764554</v>
      </c>
      <c r="M124" s="4">
        <f>CONVERT(Table6[[#This Row],[Estimation Total]],"byte","Gibyte")</f>
        <v>1.1155051682144403</v>
      </c>
    </row>
    <row r="125" spans="1:13" x14ac:dyDescent="0.2">
      <c r="A125" t="s">
        <v>426</v>
      </c>
      <c r="B125" t="s">
        <v>427</v>
      </c>
      <c r="C125" s="3">
        <v>207156447</v>
      </c>
      <c r="D125" s="3">
        <v>688372671</v>
      </c>
      <c r="E125" s="3">
        <v>94072554</v>
      </c>
      <c r="F125" s="3">
        <v>0</v>
      </c>
      <c r="G125" s="3">
        <v>0</v>
      </c>
      <c r="H125" s="3">
        <v>0</v>
      </c>
      <c r="I125" s="3">
        <v>877630</v>
      </c>
      <c r="J125" s="3">
        <v>248040</v>
      </c>
      <c r="K125" s="3">
        <v>184998846</v>
      </c>
      <c r="L125" s="3">
        <f t="shared" si="3"/>
        <v>1175726188</v>
      </c>
      <c r="M125" s="4">
        <f>CONVERT(Table6[[#This Row],[Estimation Total]],"byte","Gibyte")</f>
        <v>1.0949803404510021</v>
      </c>
    </row>
    <row r="126" spans="1:13" x14ac:dyDescent="0.2">
      <c r="A126" t="s">
        <v>413</v>
      </c>
      <c r="B126" t="s">
        <v>414</v>
      </c>
      <c r="C126" s="3">
        <v>80740908</v>
      </c>
      <c r="D126" s="3">
        <v>122624304</v>
      </c>
      <c r="E126" s="3">
        <v>502531938</v>
      </c>
      <c r="F126" s="3">
        <v>0</v>
      </c>
      <c r="G126" s="3">
        <v>109074</v>
      </c>
      <c r="H126" s="3">
        <v>314782646</v>
      </c>
      <c r="I126" s="3">
        <v>57248480</v>
      </c>
      <c r="J126" s="3">
        <v>4365192</v>
      </c>
      <c r="K126" s="3">
        <v>28026605</v>
      </c>
      <c r="L126" s="3">
        <f t="shared" si="3"/>
        <v>1110429147</v>
      </c>
      <c r="M126" s="4">
        <f>CONVERT(Table6[[#This Row],[Estimation Total]],"byte","Gibyte")</f>
        <v>1.0341677321121097</v>
      </c>
    </row>
    <row r="127" spans="1:13" x14ac:dyDescent="0.2">
      <c r="A127" t="s">
        <v>567</v>
      </c>
      <c r="B127" t="s">
        <v>568</v>
      </c>
      <c r="C127" s="3">
        <v>9746748</v>
      </c>
      <c r="D127" s="3">
        <v>14377953</v>
      </c>
      <c r="E127" s="3">
        <v>331473222</v>
      </c>
      <c r="F127" s="3">
        <v>0</v>
      </c>
      <c r="G127" s="3">
        <v>6922860</v>
      </c>
      <c r="H127" s="3">
        <v>291545468</v>
      </c>
      <c r="I127" s="3">
        <v>399267642</v>
      </c>
      <c r="J127" s="3">
        <v>2463552</v>
      </c>
      <c r="K127" s="3">
        <v>5395707</v>
      </c>
      <c r="L127" s="3">
        <f t="shared" si="3"/>
        <v>1061193152</v>
      </c>
      <c r="M127" s="4">
        <f>CONVERT(Table6[[#This Row],[Estimation Total]],"byte","Gibyte")</f>
        <v>0.98831313848495483</v>
      </c>
    </row>
    <row r="128" spans="1:13" x14ac:dyDescent="0.2">
      <c r="A128" t="s">
        <v>349</v>
      </c>
      <c r="B128" t="s">
        <v>350</v>
      </c>
      <c r="C128" s="3">
        <v>143812098</v>
      </c>
      <c r="D128" s="3">
        <v>309240147</v>
      </c>
      <c r="E128" s="3">
        <v>241658352</v>
      </c>
      <c r="F128" s="3">
        <v>0</v>
      </c>
      <c r="G128" s="3">
        <v>356160</v>
      </c>
      <c r="H128" s="3">
        <v>196642272</v>
      </c>
      <c r="I128" s="3">
        <v>69386778</v>
      </c>
      <c r="J128" s="3">
        <v>754104</v>
      </c>
      <c r="K128" s="3">
        <v>84165076</v>
      </c>
      <c r="L128" s="3">
        <f t="shared" si="3"/>
        <v>1046014987</v>
      </c>
      <c r="M128" s="4">
        <f>CONVERT(Table6[[#This Row],[Estimation Total]],"byte","Gibyte")</f>
        <v>0.97417737077921629</v>
      </c>
    </row>
    <row r="129" spans="1:13" x14ac:dyDescent="0.2">
      <c r="A129" t="s">
        <v>766</v>
      </c>
      <c r="B129" t="s">
        <v>767</v>
      </c>
      <c r="C129" s="3">
        <v>38696166</v>
      </c>
      <c r="D129" s="3">
        <v>59350116</v>
      </c>
      <c r="E129" s="3">
        <v>342166131</v>
      </c>
      <c r="F129" s="3">
        <v>0</v>
      </c>
      <c r="G129" s="3">
        <v>2588838</v>
      </c>
      <c r="H129" s="3">
        <v>225437213</v>
      </c>
      <c r="I129" s="3">
        <v>300311484</v>
      </c>
      <c r="J129" s="3">
        <v>7207200</v>
      </c>
      <c r="K129" s="3">
        <v>13612778</v>
      </c>
      <c r="L129" s="3">
        <f t="shared" si="3"/>
        <v>989369926</v>
      </c>
      <c r="M129" s="4">
        <f>CONVERT(Table6[[#This Row],[Estimation Total]],"byte","Gibyte")</f>
        <v>0.92142254672944546</v>
      </c>
    </row>
    <row r="130" spans="1:13" x14ac:dyDescent="0.2">
      <c r="A130" t="s">
        <v>397</v>
      </c>
      <c r="B130" t="s">
        <v>398</v>
      </c>
      <c r="C130" s="3">
        <v>67103343</v>
      </c>
      <c r="D130" s="3">
        <v>114729024</v>
      </c>
      <c r="E130" s="3">
        <v>359169039</v>
      </c>
      <c r="F130" s="3">
        <v>0</v>
      </c>
      <c r="G130" s="3">
        <v>6678</v>
      </c>
      <c r="H130" s="3">
        <v>270989688</v>
      </c>
      <c r="I130" s="3">
        <v>95891204</v>
      </c>
      <c r="J130" s="3">
        <v>1464840</v>
      </c>
      <c r="K130" s="3">
        <v>26553578</v>
      </c>
      <c r="L130" s="3">
        <f t="shared" ref="L130:L161" si="4">SUM(C130:K130)</f>
        <v>935907394</v>
      </c>
      <c r="M130" s="4">
        <f>CONVERT(Table6[[#This Row],[Estimation Total]],"byte","Gibyte")</f>
        <v>0.87163168378174305</v>
      </c>
    </row>
    <row r="131" spans="1:13" x14ac:dyDescent="0.2">
      <c r="A131" t="s">
        <v>799</v>
      </c>
      <c r="B131" t="s">
        <v>800</v>
      </c>
      <c r="C131" s="3">
        <v>131524020</v>
      </c>
      <c r="D131" s="3">
        <v>418787157</v>
      </c>
      <c r="E131" s="3">
        <v>162981639</v>
      </c>
      <c r="F131" s="3">
        <v>0</v>
      </c>
      <c r="G131" s="3">
        <v>0</v>
      </c>
      <c r="H131" s="3">
        <v>0</v>
      </c>
      <c r="I131" s="3">
        <v>4563676</v>
      </c>
      <c r="J131" s="3">
        <v>41184</v>
      </c>
      <c r="K131" s="3">
        <v>161541287</v>
      </c>
      <c r="L131" s="3">
        <f t="shared" si="4"/>
        <v>879438963</v>
      </c>
      <c r="M131" s="4">
        <f>CONVERT(Table6[[#This Row],[Estimation Total]],"byte","Gibyte")</f>
        <v>0.81904135923832655</v>
      </c>
    </row>
    <row r="132" spans="1:13" x14ac:dyDescent="0.2">
      <c r="A132" t="s">
        <v>621</v>
      </c>
      <c r="B132" t="s">
        <v>622</v>
      </c>
      <c r="C132" s="3">
        <v>97539507</v>
      </c>
      <c r="D132" s="3">
        <v>62521485</v>
      </c>
      <c r="E132" s="3">
        <v>326589408</v>
      </c>
      <c r="F132" s="3">
        <v>0</v>
      </c>
      <c r="G132" s="3">
        <v>153594</v>
      </c>
      <c r="H132" s="3">
        <v>270330170</v>
      </c>
      <c r="I132" s="3">
        <v>78271094</v>
      </c>
      <c r="J132" s="3">
        <v>9423648</v>
      </c>
      <c r="K132" s="3">
        <v>31555669</v>
      </c>
      <c r="L132" s="3">
        <f t="shared" si="4"/>
        <v>876384575</v>
      </c>
      <c r="M132" s="4">
        <f>CONVERT(Table6[[#This Row],[Estimation Total]],"byte","Gibyte")</f>
        <v>0.81619673874229193</v>
      </c>
    </row>
    <row r="133" spans="1:13" x14ac:dyDescent="0.2">
      <c r="A133" t="s">
        <v>163</v>
      </c>
      <c r="B133" t="s">
        <v>164</v>
      </c>
      <c r="C133" s="3">
        <v>33271038</v>
      </c>
      <c r="D133" s="3">
        <v>30314340</v>
      </c>
      <c r="E133" s="3">
        <v>290677374</v>
      </c>
      <c r="F133" s="3">
        <v>7214520</v>
      </c>
      <c r="G133" s="3">
        <v>2882670</v>
      </c>
      <c r="H133" s="3">
        <v>218562821</v>
      </c>
      <c r="I133" s="3">
        <v>181615402</v>
      </c>
      <c r="J133" s="3">
        <v>3092544</v>
      </c>
      <c r="K133" s="3">
        <v>11321515</v>
      </c>
      <c r="L133" s="3">
        <f t="shared" si="4"/>
        <v>778952224</v>
      </c>
      <c r="M133" s="4">
        <f>CONVERT(Table6[[#This Row],[Estimation Total]],"byte","Gibyte")</f>
        <v>0.72545579075813293</v>
      </c>
    </row>
    <row r="134" spans="1:13" x14ac:dyDescent="0.2">
      <c r="A134" t="s">
        <v>444</v>
      </c>
      <c r="B134" t="s">
        <v>445</v>
      </c>
      <c r="C134" s="3">
        <v>46581084</v>
      </c>
      <c r="D134" s="3">
        <v>104764179</v>
      </c>
      <c r="E134" s="3">
        <v>235042245</v>
      </c>
      <c r="F134" s="3">
        <v>295</v>
      </c>
      <c r="G134" s="3">
        <v>164724</v>
      </c>
      <c r="H134" s="3">
        <v>226585352</v>
      </c>
      <c r="I134" s="3">
        <v>96566304</v>
      </c>
      <c r="J134" s="3">
        <v>2938104</v>
      </c>
      <c r="K134" s="3">
        <v>57962315</v>
      </c>
      <c r="L134" s="3">
        <f t="shared" si="4"/>
        <v>770604602</v>
      </c>
      <c r="M134" s="4">
        <f>CONVERT(Table6[[#This Row],[Estimation Total]],"byte","Gibyte")</f>
        <v>0.71768146194517612</v>
      </c>
    </row>
    <row r="135" spans="1:13" x14ac:dyDescent="0.2">
      <c r="A135" t="s">
        <v>537</v>
      </c>
      <c r="B135" t="s">
        <v>538</v>
      </c>
      <c r="C135" s="3">
        <v>220062870</v>
      </c>
      <c r="D135" s="3">
        <v>372539376</v>
      </c>
      <c r="E135" s="3">
        <v>18881298</v>
      </c>
      <c r="F135" s="3">
        <v>0</v>
      </c>
      <c r="G135" s="3">
        <v>0</v>
      </c>
      <c r="H135" s="3">
        <v>0</v>
      </c>
      <c r="I135" s="3">
        <v>6818510</v>
      </c>
      <c r="J135" s="3">
        <v>0</v>
      </c>
      <c r="K135" s="3">
        <v>107606122</v>
      </c>
      <c r="L135" s="3">
        <f t="shared" si="4"/>
        <v>725908176</v>
      </c>
      <c r="M135" s="4">
        <f>CONVERT(Table6[[#This Row],[Estimation Total]],"byte","Gibyte")</f>
        <v>0.67605467140674591</v>
      </c>
    </row>
    <row r="136" spans="1:13" x14ac:dyDescent="0.2">
      <c r="A136" t="s">
        <v>285</v>
      </c>
      <c r="B136" t="s">
        <v>286</v>
      </c>
      <c r="C136" s="3">
        <v>33583608</v>
      </c>
      <c r="D136" s="3">
        <v>56685459</v>
      </c>
      <c r="E136" s="3">
        <v>257756850</v>
      </c>
      <c r="F136" s="3">
        <v>0</v>
      </c>
      <c r="G136" s="3">
        <v>1041768</v>
      </c>
      <c r="H136" s="3">
        <v>209575083</v>
      </c>
      <c r="I136" s="3">
        <v>66686378</v>
      </c>
      <c r="J136" s="3">
        <v>2598648</v>
      </c>
      <c r="K136" s="3">
        <v>12968771</v>
      </c>
      <c r="L136" s="3">
        <f t="shared" si="4"/>
        <v>640896565</v>
      </c>
      <c r="M136" s="4">
        <f>CONVERT(Table6[[#This Row],[Estimation Total]],"byte","Gibyte")</f>
        <v>0.59688143897801638</v>
      </c>
    </row>
    <row r="137" spans="1:13" x14ac:dyDescent="0.2">
      <c r="A137" t="s">
        <v>778</v>
      </c>
      <c r="B137" t="s">
        <v>779</v>
      </c>
      <c r="C137" s="3">
        <v>22438449</v>
      </c>
      <c r="D137" s="3">
        <v>25124961</v>
      </c>
      <c r="E137" s="3">
        <v>317280942</v>
      </c>
      <c r="F137" s="3">
        <v>0</v>
      </c>
      <c r="G137" s="3">
        <v>362838</v>
      </c>
      <c r="H137" s="3">
        <v>237717727</v>
      </c>
      <c r="I137" s="3">
        <v>16863998</v>
      </c>
      <c r="J137" s="3">
        <v>4766424</v>
      </c>
      <c r="K137" s="3">
        <v>5747872</v>
      </c>
      <c r="L137" s="3">
        <f t="shared" si="4"/>
        <v>630303211</v>
      </c>
      <c r="M137" s="4">
        <f>CONVERT(Table6[[#This Row],[Estimation Total]],"byte","Gibyte")</f>
        <v>0.5870156092569232</v>
      </c>
    </row>
    <row r="138" spans="1:13" x14ac:dyDescent="0.2">
      <c r="A138" t="s">
        <v>50</v>
      </c>
      <c r="B138" t="s">
        <v>51</v>
      </c>
      <c r="C138" s="3">
        <v>92524797</v>
      </c>
      <c r="D138" s="3">
        <v>224735610</v>
      </c>
      <c r="E138" s="3">
        <v>168234174</v>
      </c>
      <c r="F138" s="3">
        <v>0</v>
      </c>
      <c r="G138" s="3">
        <v>0</v>
      </c>
      <c r="H138" s="3">
        <v>0</v>
      </c>
      <c r="I138" s="3">
        <v>22048766</v>
      </c>
      <c r="J138" s="3">
        <v>0</v>
      </c>
      <c r="K138" s="3">
        <v>84625081</v>
      </c>
      <c r="L138" s="3">
        <f t="shared" si="4"/>
        <v>592168428</v>
      </c>
      <c r="M138" s="4">
        <f>CONVERT(Table6[[#This Row],[Estimation Total]],"byte","Gibyte")</f>
        <v>0.55149982497096062</v>
      </c>
    </row>
    <row r="139" spans="1:13" x14ac:dyDescent="0.2">
      <c r="A139" t="s">
        <v>135</v>
      </c>
      <c r="B139" t="s">
        <v>136</v>
      </c>
      <c r="C139" s="3">
        <v>116308656</v>
      </c>
      <c r="D139" s="3">
        <v>357345381</v>
      </c>
      <c r="E139" s="3">
        <v>9273681</v>
      </c>
      <c r="F139" s="3">
        <v>0</v>
      </c>
      <c r="G139" s="3">
        <v>4452</v>
      </c>
      <c r="H139" s="3">
        <v>9570232</v>
      </c>
      <c r="I139" s="3">
        <v>54008</v>
      </c>
      <c r="J139" s="3">
        <v>0</v>
      </c>
      <c r="K139" s="3">
        <v>90913838</v>
      </c>
      <c r="L139" s="3">
        <f t="shared" si="4"/>
        <v>583470248</v>
      </c>
      <c r="M139" s="4">
        <f>CONVERT(Table6[[#This Row],[Estimation Total]],"byte","Gibyte")</f>
        <v>0.54339901357889175</v>
      </c>
    </row>
    <row r="140" spans="1:13" x14ac:dyDescent="0.2">
      <c r="A140" t="s">
        <v>638</v>
      </c>
      <c r="B140" t="s">
        <v>639</v>
      </c>
      <c r="C140" s="3">
        <v>14083317</v>
      </c>
      <c r="D140" s="3">
        <v>26734950</v>
      </c>
      <c r="E140" s="3">
        <v>144886482</v>
      </c>
      <c r="F140" s="3">
        <v>0</v>
      </c>
      <c r="G140" s="3">
        <v>872592</v>
      </c>
      <c r="H140" s="3">
        <v>131215198</v>
      </c>
      <c r="I140" s="3">
        <v>148170948</v>
      </c>
      <c r="J140" s="3">
        <v>25272</v>
      </c>
      <c r="K140" s="3">
        <v>6876485</v>
      </c>
      <c r="L140" s="3">
        <f t="shared" si="4"/>
        <v>472865244</v>
      </c>
      <c r="M140" s="4">
        <f>CONVERT(Table6[[#This Row],[Estimation Total]],"byte","Gibyte")</f>
        <v>0.44039007648825645</v>
      </c>
    </row>
    <row r="141" spans="1:13" x14ac:dyDescent="0.2">
      <c r="A141" t="s">
        <v>718</v>
      </c>
      <c r="B141" t="s">
        <v>719</v>
      </c>
      <c r="C141" s="3">
        <v>112053627</v>
      </c>
      <c r="D141" s="3">
        <v>258816411</v>
      </c>
      <c r="E141" s="3">
        <v>5579514</v>
      </c>
      <c r="F141" s="3">
        <v>0</v>
      </c>
      <c r="G141" s="3">
        <v>0</v>
      </c>
      <c r="H141" s="3">
        <v>0</v>
      </c>
      <c r="I141" s="3">
        <v>337550</v>
      </c>
      <c r="J141" s="3">
        <v>0</v>
      </c>
      <c r="K141" s="3">
        <v>77739160</v>
      </c>
      <c r="L141" s="3">
        <f t="shared" si="4"/>
        <v>454526262</v>
      </c>
      <c r="M141" s="4">
        <f>CONVERT(Table6[[#This Row],[Estimation Total]],"byte","Gibyte")</f>
        <v>0.42331056855618954</v>
      </c>
    </row>
    <row r="142" spans="1:13" x14ac:dyDescent="0.2">
      <c r="A142" t="s">
        <v>714</v>
      </c>
      <c r="B142" t="s">
        <v>715</v>
      </c>
      <c r="C142" s="3">
        <v>54774495</v>
      </c>
      <c r="D142" s="3">
        <v>65449809</v>
      </c>
      <c r="E142" s="3">
        <v>248476212</v>
      </c>
      <c r="F142" s="3">
        <v>0</v>
      </c>
      <c r="G142" s="3">
        <v>0</v>
      </c>
      <c r="H142" s="3">
        <v>0</v>
      </c>
      <c r="I142" s="3">
        <v>29272336</v>
      </c>
      <c r="J142" s="3">
        <v>0</v>
      </c>
      <c r="K142" s="3">
        <v>42604214</v>
      </c>
      <c r="L142" s="3">
        <f t="shared" si="4"/>
        <v>440577066</v>
      </c>
      <c r="M142" s="4">
        <f>CONVERT(Table6[[#This Row],[Estimation Total]],"byte","Gibyte")</f>
        <v>0.4103193674236536</v>
      </c>
    </row>
    <row r="143" spans="1:13" x14ac:dyDescent="0.2">
      <c r="A143" s="1" t="s">
        <v>743</v>
      </c>
      <c r="B143" t="s">
        <v>744</v>
      </c>
      <c r="C143" s="3">
        <v>72086796</v>
      </c>
      <c r="D143" s="3">
        <v>279914190</v>
      </c>
      <c r="E143" s="3">
        <v>7666614</v>
      </c>
      <c r="F143" s="3">
        <v>0</v>
      </c>
      <c r="G143" s="3">
        <v>0</v>
      </c>
      <c r="H143" s="3">
        <v>0</v>
      </c>
      <c r="I143" s="3">
        <v>324048</v>
      </c>
      <c r="J143" s="3">
        <v>0</v>
      </c>
      <c r="K143" s="3">
        <v>51931363</v>
      </c>
      <c r="L143" s="3">
        <f t="shared" si="4"/>
        <v>411923011</v>
      </c>
      <c r="M143" s="4">
        <f>CONVERT(Table6[[#This Row],[Estimation Total]],"byte","Gibyte")</f>
        <v>0.38363319914788008</v>
      </c>
    </row>
    <row r="144" spans="1:13" x14ac:dyDescent="0.2">
      <c r="A144" t="s">
        <v>774</v>
      </c>
      <c r="B144" t="s">
        <v>775</v>
      </c>
      <c r="C144" s="3">
        <v>89775540</v>
      </c>
      <c r="D144" s="3">
        <v>130423839</v>
      </c>
      <c r="E144" s="3">
        <v>115548813</v>
      </c>
      <c r="F144" s="3">
        <v>0</v>
      </c>
      <c r="G144" s="3">
        <v>0</v>
      </c>
      <c r="H144" s="3">
        <v>0</v>
      </c>
      <c r="I144" s="3">
        <v>2592384</v>
      </c>
      <c r="J144" s="3">
        <v>0</v>
      </c>
      <c r="K144" s="3">
        <v>67328893</v>
      </c>
      <c r="L144" s="3">
        <f t="shared" si="4"/>
        <v>405669469</v>
      </c>
      <c r="M144" s="4">
        <f>CONVERT(Table6[[#This Row],[Estimation Total]],"byte","Gibyte")</f>
        <v>0.37780913431197405</v>
      </c>
    </row>
    <row r="145" spans="1:13" x14ac:dyDescent="0.2">
      <c r="A145" t="s">
        <v>45</v>
      </c>
      <c r="B145" t="s">
        <v>46</v>
      </c>
      <c r="C145" s="3">
        <v>28233225</v>
      </c>
      <c r="D145" s="3">
        <v>34023354</v>
      </c>
      <c r="E145" s="3">
        <v>156289005</v>
      </c>
      <c r="F145" s="3">
        <v>0</v>
      </c>
      <c r="G145" s="3">
        <v>77910</v>
      </c>
      <c r="H145" s="3">
        <v>93538427</v>
      </c>
      <c r="I145" s="3">
        <v>12300322</v>
      </c>
      <c r="J145" s="3">
        <v>1478880</v>
      </c>
      <c r="K145" s="3">
        <v>7784026</v>
      </c>
      <c r="L145" s="3">
        <f t="shared" si="4"/>
        <v>333725149</v>
      </c>
      <c r="M145" s="4">
        <f>CONVERT(Table6[[#This Row],[Estimation Total]],"byte","Gibyte")</f>
        <v>0.31080576498061419</v>
      </c>
    </row>
    <row r="146" spans="1:13" x14ac:dyDescent="0.2">
      <c r="A146" t="s">
        <v>131</v>
      </c>
      <c r="B146" t="s">
        <v>132</v>
      </c>
      <c r="C146" s="3">
        <v>14072445</v>
      </c>
      <c r="D146" s="3">
        <v>24332487</v>
      </c>
      <c r="E146" s="3">
        <v>111298086</v>
      </c>
      <c r="F146" s="3">
        <v>0</v>
      </c>
      <c r="G146" s="3">
        <v>4452</v>
      </c>
      <c r="H146" s="3">
        <v>113191582</v>
      </c>
      <c r="I146" s="3">
        <v>27760112</v>
      </c>
      <c r="J146" s="3">
        <v>0</v>
      </c>
      <c r="K146" s="3">
        <v>5566903</v>
      </c>
      <c r="L146" s="3">
        <f t="shared" si="4"/>
        <v>296226067</v>
      </c>
      <c r="M146" s="4">
        <f>CONVERT(Table6[[#This Row],[Estimation Total]],"byte","Gibyte")</f>
        <v>0.27588202338665724</v>
      </c>
    </row>
    <row r="147" spans="1:13" x14ac:dyDescent="0.2">
      <c r="A147" t="s">
        <v>812</v>
      </c>
      <c r="B147" t="s">
        <v>813</v>
      </c>
      <c r="C147" s="3">
        <v>31648392</v>
      </c>
      <c r="D147" s="3">
        <v>132914682</v>
      </c>
      <c r="E147" s="3">
        <v>43105572</v>
      </c>
      <c r="F147" s="3">
        <v>0</v>
      </c>
      <c r="G147" s="3">
        <v>0</v>
      </c>
      <c r="H147" s="3">
        <v>0</v>
      </c>
      <c r="I147" s="3">
        <v>2025300</v>
      </c>
      <c r="J147" s="3">
        <v>4923672</v>
      </c>
      <c r="K147" s="3">
        <v>47281774</v>
      </c>
      <c r="L147" s="3">
        <f t="shared" si="4"/>
        <v>261899392</v>
      </c>
      <c r="M147" s="4">
        <f>CONVERT(Table6[[#This Row],[Estimation Total]],"byte","Gibyte")</f>
        <v>0.24391281604766846</v>
      </c>
    </row>
    <row r="148" spans="1:13" x14ac:dyDescent="0.2">
      <c r="A148" t="s">
        <v>370</v>
      </c>
      <c r="B148" t="s">
        <v>371</v>
      </c>
      <c r="C148" s="3">
        <v>19874016</v>
      </c>
      <c r="D148" s="3">
        <v>35978025</v>
      </c>
      <c r="E148" s="3">
        <v>84771045</v>
      </c>
      <c r="F148" s="3">
        <v>0</v>
      </c>
      <c r="G148" s="3">
        <v>24486</v>
      </c>
      <c r="H148" s="3">
        <v>70994465</v>
      </c>
      <c r="I148" s="3">
        <v>22993906</v>
      </c>
      <c r="J148" s="3">
        <v>350064</v>
      </c>
      <c r="K148" s="3">
        <v>8231899</v>
      </c>
      <c r="L148" s="3">
        <f t="shared" si="4"/>
        <v>243217906</v>
      </c>
      <c r="M148" s="4">
        <f>CONVERT(Table6[[#This Row],[Estimation Total]],"byte","Gibyte")</f>
        <v>0.22651432640850544</v>
      </c>
    </row>
    <row r="149" spans="1:13" x14ac:dyDescent="0.2">
      <c r="A149" t="s">
        <v>558</v>
      </c>
      <c r="B149" t="s">
        <v>559</v>
      </c>
      <c r="C149" s="3">
        <v>15635295</v>
      </c>
      <c r="D149" s="3">
        <v>27910404</v>
      </c>
      <c r="E149" s="3">
        <v>88444341</v>
      </c>
      <c r="F149" s="3">
        <v>0</v>
      </c>
      <c r="G149" s="3">
        <v>26712</v>
      </c>
      <c r="H149" s="3">
        <v>82786358</v>
      </c>
      <c r="I149" s="3">
        <v>18767780</v>
      </c>
      <c r="J149" s="3">
        <v>627432</v>
      </c>
      <c r="K149" s="3">
        <v>6419513</v>
      </c>
      <c r="L149" s="3">
        <f t="shared" si="4"/>
        <v>240617835</v>
      </c>
      <c r="M149" s="4">
        <f>CONVERT(Table6[[#This Row],[Estimation Total]],"byte","Gibyte")</f>
        <v>0.2240928215906024</v>
      </c>
    </row>
    <row r="150" spans="1:13" x14ac:dyDescent="0.2">
      <c r="A150" t="s">
        <v>674</v>
      </c>
      <c r="B150" t="s">
        <v>675</v>
      </c>
      <c r="C150" s="3">
        <v>62655336</v>
      </c>
      <c r="D150" s="3">
        <v>108929823</v>
      </c>
      <c r="E150" s="3">
        <v>14540130</v>
      </c>
      <c r="F150" s="3">
        <v>0</v>
      </c>
      <c r="G150" s="3">
        <v>0</v>
      </c>
      <c r="H150" s="3">
        <v>0</v>
      </c>
      <c r="I150" s="3">
        <v>607590</v>
      </c>
      <c r="J150" s="3">
        <v>0</v>
      </c>
      <c r="K150" s="3">
        <v>35702454</v>
      </c>
      <c r="L150" s="3">
        <f t="shared" si="4"/>
        <v>222435333</v>
      </c>
      <c r="M150" s="4">
        <f>CONVERT(Table6[[#This Row],[Estimation Total]],"byte","Gibyte")</f>
        <v>0.20715904701501131</v>
      </c>
    </row>
    <row r="151" spans="1:13" x14ac:dyDescent="0.2">
      <c r="A151" t="s">
        <v>722</v>
      </c>
      <c r="B151" t="s">
        <v>723</v>
      </c>
      <c r="C151" s="3">
        <v>38826630</v>
      </c>
      <c r="D151" s="3">
        <v>94018644</v>
      </c>
      <c r="E151" s="3">
        <v>1975788</v>
      </c>
      <c r="F151" s="3">
        <v>0</v>
      </c>
      <c r="G151" s="3">
        <v>0</v>
      </c>
      <c r="H151" s="3">
        <v>0</v>
      </c>
      <c r="I151" s="3">
        <v>324048</v>
      </c>
      <c r="J151" s="3">
        <v>0</v>
      </c>
      <c r="K151" s="3">
        <v>38839924</v>
      </c>
      <c r="L151" s="3">
        <f t="shared" si="4"/>
        <v>173985034</v>
      </c>
      <c r="M151" s="4">
        <f>CONVERT(Table6[[#This Row],[Estimation Total]],"byte","Gibyte")</f>
        <v>0.16203618980944157</v>
      </c>
    </row>
    <row r="152" spans="1:13" x14ac:dyDescent="0.2">
      <c r="A152" t="s">
        <v>194</v>
      </c>
      <c r="B152" t="s">
        <v>195</v>
      </c>
      <c r="C152" s="3">
        <v>2436687</v>
      </c>
      <c r="D152" s="3">
        <v>3790029</v>
      </c>
      <c r="E152" s="3">
        <v>70161345</v>
      </c>
      <c r="F152" s="3">
        <v>0</v>
      </c>
      <c r="G152" s="3">
        <v>95718</v>
      </c>
      <c r="H152" s="3">
        <v>59082222</v>
      </c>
      <c r="I152" s="3">
        <v>17525596</v>
      </c>
      <c r="J152" s="3">
        <v>40872</v>
      </c>
      <c r="K152" s="3">
        <v>909226</v>
      </c>
      <c r="L152" s="3">
        <f t="shared" si="4"/>
        <v>154041695</v>
      </c>
      <c r="M152" s="4">
        <f>CONVERT(Table6[[#This Row],[Estimation Total]],"byte","Gibyte")</f>
        <v>0.14346250798553228</v>
      </c>
    </row>
    <row r="153" spans="1:13" x14ac:dyDescent="0.2">
      <c r="A153" t="s">
        <v>177</v>
      </c>
      <c r="B153" t="s">
        <v>178</v>
      </c>
      <c r="C153" s="3">
        <v>18520452</v>
      </c>
      <c r="D153" s="3">
        <v>50881839</v>
      </c>
      <c r="E153" s="3">
        <v>21796281</v>
      </c>
      <c r="F153" s="3">
        <v>34269855</v>
      </c>
      <c r="G153" s="3">
        <v>0</v>
      </c>
      <c r="H153" s="3">
        <v>0</v>
      </c>
      <c r="I153" s="3">
        <v>958642</v>
      </c>
      <c r="J153" s="3">
        <v>0</v>
      </c>
      <c r="K153" s="3">
        <v>14517286</v>
      </c>
      <c r="L153" s="3">
        <f t="shared" si="4"/>
        <v>140944355</v>
      </c>
      <c r="M153" s="4">
        <f>CONVERT(Table6[[#This Row],[Estimation Total]],"byte","Gibyte")</f>
        <v>0.13126465957611799</v>
      </c>
    </row>
    <row r="154" spans="1:13" x14ac:dyDescent="0.2">
      <c r="A154" t="s">
        <v>625</v>
      </c>
      <c r="B154" t="s">
        <v>626</v>
      </c>
      <c r="C154" s="3">
        <v>8749242</v>
      </c>
      <c r="D154" s="3">
        <v>12401187</v>
      </c>
      <c r="E154" s="3">
        <v>55266408</v>
      </c>
      <c r="F154" s="3">
        <v>3540</v>
      </c>
      <c r="G154" s="3">
        <v>6678</v>
      </c>
      <c r="H154" s="3">
        <v>32285091</v>
      </c>
      <c r="I154" s="3">
        <v>19685916</v>
      </c>
      <c r="J154" s="3">
        <v>2464800</v>
      </c>
      <c r="K154" s="3">
        <v>2837203</v>
      </c>
      <c r="L154" s="3">
        <f t="shared" si="4"/>
        <v>133700065</v>
      </c>
      <c r="M154" s="4">
        <f>CONVERT(Table6[[#This Row],[Estimation Total]],"byte","Gibyte")</f>
        <v>0.12451788876205683</v>
      </c>
    </row>
    <row r="155" spans="1:13" x14ac:dyDescent="0.2">
      <c r="A155" t="s">
        <v>786</v>
      </c>
      <c r="B155" t="s">
        <v>787</v>
      </c>
      <c r="C155" s="3">
        <v>429444</v>
      </c>
      <c r="D155" s="3">
        <v>6305913</v>
      </c>
      <c r="E155" s="3">
        <v>52984512</v>
      </c>
      <c r="F155" s="3">
        <v>0</v>
      </c>
      <c r="G155" s="3">
        <v>71232</v>
      </c>
      <c r="H155" s="3">
        <v>52884197</v>
      </c>
      <c r="I155" s="3">
        <v>12772892</v>
      </c>
      <c r="J155" s="3">
        <v>357240</v>
      </c>
      <c r="K155" s="3">
        <v>1456851</v>
      </c>
      <c r="L155" s="3">
        <f t="shared" si="4"/>
        <v>127262281</v>
      </c>
      <c r="M155" s="4">
        <f>CONVERT(Table6[[#This Row],[Estimation Total]],"byte","Gibyte")</f>
        <v>0.11852223519235849</v>
      </c>
    </row>
    <row r="156" spans="1:13" x14ac:dyDescent="0.2">
      <c r="A156" t="s">
        <v>248</v>
      </c>
      <c r="B156" t="s">
        <v>249</v>
      </c>
      <c r="C156" s="3">
        <v>10658637</v>
      </c>
      <c r="D156" s="3">
        <v>8295936</v>
      </c>
      <c r="E156" s="3">
        <v>44942220</v>
      </c>
      <c r="F156" s="3">
        <v>0</v>
      </c>
      <c r="G156" s="3">
        <v>6678</v>
      </c>
      <c r="H156" s="3">
        <v>18285979</v>
      </c>
      <c r="I156" s="3">
        <v>3145966</v>
      </c>
      <c r="J156" s="3">
        <v>2034864</v>
      </c>
      <c r="K156" s="3">
        <v>2565918</v>
      </c>
      <c r="L156" s="3">
        <f t="shared" si="4"/>
        <v>89936198</v>
      </c>
      <c r="M156" s="4">
        <f>CONVERT(Table6[[#This Row],[Estimation Total]],"byte","Gibyte")</f>
        <v>8.375961147248745E-2</v>
      </c>
    </row>
    <row r="157" spans="1:13" x14ac:dyDescent="0.2">
      <c r="A157" t="s">
        <v>817</v>
      </c>
      <c r="B157" t="s">
        <v>818</v>
      </c>
      <c r="C157" s="3">
        <v>8299413</v>
      </c>
      <c r="D157" s="3">
        <v>12343740</v>
      </c>
      <c r="E157" s="3">
        <v>24043392</v>
      </c>
      <c r="F157" s="3">
        <v>0</v>
      </c>
      <c r="G157" s="3">
        <v>2226</v>
      </c>
      <c r="H157" s="3">
        <v>19648341</v>
      </c>
      <c r="I157" s="3">
        <v>9694436</v>
      </c>
      <c r="J157" s="3">
        <v>1398072</v>
      </c>
      <c r="K157" s="3">
        <v>3077484</v>
      </c>
      <c r="L157" s="3">
        <f t="shared" si="4"/>
        <v>78507104</v>
      </c>
      <c r="M157" s="4">
        <f>CONVERT(Table6[[#This Row],[Estimation Total]],"byte","Gibyte")</f>
        <v>7.3115438222885132E-2</v>
      </c>
    </row>
    <row r="158" spans="1:13" x14ac:dyDescent="0.2">
      <c r="A158" t="s">
        <v>762</v>
      </c>
      <c r="B158" t="s">
        <v>763</v>
      </c>
      <c r="C158" s="3">
        <v>5687415</v>
      </c>
      <c r="D158" s="3">
        <v>12236211</v>
      </c>
      <c r="E158" s="3">
        <v>12689568</v>
      </c>
      <c r="F158" s="3">
        <v>0</v>
      </c>
      <c r="G158" s="3">
        <v>26712</v>
      </c>
      <c r="H158" s="3">
        <v>14697142</v>
      </c>
      <c r="I158" s="3">
        <v>18794784</v>
      </c>
      <c r="J158" s="3">
        <v>317928</v>
      </c>
      <c r="K158" s="3">
        <v>2931563</v>
      </c>
      <c r="L158" s="3">
        <f t="shared" si="4"/>
        <v>67381323</v>
      </c>
      <c r="M158" s="4">
        <f>CONVERT(Table6[[#This Row],[Estimation Total]],"byte","Gibyte")</f>
        <v>6.2753747217357159E-2</v>
      </c>
    </row>
    <row r="159" spans="1:13" x14ac:dyDescent="0.2">
      <c r="A159" t="s">
        <v>669</v>
      </c>
      <c r="B159" t="s">
        <v>670</v>
      </c>
      <c r="C159" s="3">
        <v>2609280</v>
      </c>
      <c r="D159" s="3">
        <v>2881188</v>
      </c>
      <c r="E159" s="3">
        <v>19632654</v>
      </c>
      <c r="F159" s="3">
        <v>0</v>
      </c>
      <c r="G159" s="3">
        <v>24486</v>
      </c>
      <c r="H159" s="3">
        <v>24366061</v>
      </c>
      <c r="I159" s="3">
        <v>13042932</v>
      </c>
      <c r="J159" s="3">
        <v>186576</v>
      </c>
      <c r="K159" s="3">
        <v>659172</v>
      </c>
      <c r="L159" s="3">
        <f t="shared" si="4"/>
        <v>63402349</v>
      </c>
      <c r="M159" s="4">
        <f>CONVERT(Table6[[#This Row],[Estimation Total]],"byte","Gibyte")</f>
        <v>5.904803890734911E-2</v>
      </c>
    </row>
    <row r="160" spans="1:13" x14ac:dyDescent="0.2">
      <c r="A160" t="s">
        <v>629</v>
      </c>
      <c r="B160" t="s">
        <v>630</v>
      </c>
      <c r="C160" s="3">
        <v>6080166</v>
      </c>
      <c r="D160" s="3">
        <v>14612160</v>
      </c>
      <c r="E160" s="3">
        <v>16328079</v>
      </c>
      <c r="F160" s="3">
        <v>0</v>
      </c>
      <c r="G160" s="3">
        <v>8904</v>
      </c>
      <c r="H160" s="3">
        <v>11654694</v>
      </c>
      <c r="I160" s="3">
        <v>7453104</v>
      </c>
      <c r="J160" s="3">
        <v>872352</v>
      </c>
      <c r="K160" s="3">
        <v>6120594</v>
      </c>
      <c r="L160" s="3">
        <f t="shared" si="4"/>
        <v>63130053</v>
      </c>
      <c r="M160" s="4">
        <f>CONVERT(Table6[[#This Row],[Estimation Total]],"byte","Gibyte")</f>
        <v>5.8794443495571613E-2</v>
      </c>
    </row>
    <row r="161" spans="1:13" x14ac:dyDescent="0.2">
      <c r="A161" t="s">
        <v>449</v>
      </c>
      <c r="B161" t="s">
        <v>450</v>
      </c>
      <c r="C161" s="3">
        <v>725706</v>
      </c>
      <c r="D161" s="3">
        <v>877908</v>
      </c>
      <c r="E161" s="3">
        <v>20669247</v>
      </c>
      <c r="F161" s="3">
        <v>0</v>
      </c>
      <c r="G161" s="3">
        <v>20034</v>
      </c>
      <c r="H161" s="3">
        <v>30313758</v>
      </c>
      <c r="I161" s="3">
        <v>5765354</v>
      </c>
      <c r="J161" s="3">
        <v>37128</v>
      </c>
      <c r="K161" s="3">
        <v>202200</v>
      </c>
      <c r="L161" s="3">
        <f t="shared" si="4"/>
        <v>58611335</v>
      </c>
      <c r="M161" s="4">
        <f>CONVERT(Table6[[#This Row],[Estimation Total]],"byte","Gibyte")</f>
        <v>5.4586059413850307E-2</v>
      </c>
    </row>
    <row r="162" spans="1:13" x14ac:dyDescent="0.2">
      <c r="A162" t="s">
        <v>454</v>
      </c>
      <c r="B162" t="s">
        <v>455</v>
      </c>
      <c r="C162" s="3">
        <v>5081301</v>
      </c>
      <c r="D162" s="3">
        <v>6386928</v>
      </c>
      <c r="E162" s="3">
        <v>20557935</v>
      </c>
      <c r="F162" s="3">
        <v>0</v>
      </c>
      <c r="G162" s="3">
        <v>2226</v>
      </c>
      <c r="H162" s="3">
        <v>12778763</v>
      </c>
      <c r="I162" s="3">
        <v>4698696</v>
      </c>
      <c r="J162" s="3">
        <v>0</v>
      </c>
      <c r="K162" s="3">
        <v>1524588</v>
      </c>
      <c r="L162" s="3">
        <f t="shared" ref="L162:L193" si="5">SUM(C162:K162)</f>
        <v>51030437</v>
      </c>
      <c r="M162" s="4">
        <f>CONVERT(Table6[[#This Row],[Estimation Total]],"byte","Gibyte")</f>
        <v>4.7525797970592976E-2</v>
      </c>
    </row>
    <row r="163" spans="1:13" x14ac:dyDescent="0.2">
      <c r="A163" t="s">
        <v>595</v>
      </c>
      <c r="B163" t="s">
        <v>596</v>
      </c>
      <c r="C163" s="3">
        <v>2015397</v>
      </c>
      <c r="D163" s="3">
        <v>2281677</v>
      </c>
      <c r="E163" s="3">
        <v>11486007</v>
      </c>
      <c r="F163" s="3">
        <v>0</v>
      </c>
      <c r="G163" s="3">
        <v>8904</v>
      </c>
      <c r="H163" s="3">
        <v>11052944</v>
      </c>
      <c r="I163" s="3">
        <v>6305434</v>
      </c>
      <c r="J163" s="3">
        <v>0</v>
      </c>
      <c r="K163" s="3">
        <v>532460</v>
      </c>
      <c r="L163" s="3">
        <f t="shared" si="5"/>
        <v>33682823</v>
      </c>
      <c r="M163" s="4">
        <f>CONVERT(Table6[[#This Row],[Estimation Total]],"byte","Gibyte")</f>
        <v>3.1369573436677456E-2</v>
      </c>
    </row>
    <row r="164" spans="1:13" x14ac:dyDescent="0.2">
      <c r="A164" t="s">
        <v>830</v>
      </c>
      <c r="B164" t="s">
        <v>831</v>
      </c>
      <c r="C164" s="3">
        <v>1405206</v>
      </c>
      <c r="D164" s="3">
        <v>1571691</v>
      </c>
      <c r="E164" s="3">
        <v>7520517</v>
      </c>
      <c r="F164" s="3">
        <v>0</v>
      </c>
      <c r="G164" s="3">
        <v>6678</v>
      </c>
      <c r="H164" s="3">
        <v>7485770</v>
      </c>
      <c r="I164" s="3">
        <v>14136594</v>
      </c>
      <c r="J164" s="3">
        <v>136656</v>
      </c>
      <c r="K164" s="3">
        <v>393279</v>
      </c>
      <c r="L164" s="3">
        <f t="shared" si="5"/>
        <v>32656391</v>
      </c>
      <c r="M164" s="4">
        <f>CONVERT(Table6[[#This Row],[Estimation Total]],"byte","Gibyte")</f>
        <v>3.0413634143769741E-2</v>
      </c>
    </row>
    <row r="165" spans="1:13" x14ac:dyDescent="0.2">
      <c r="A165" t="s">
        <v>684</v>
      </c>
      <c r="B165" t="s">
        <v>685</v>
      </c>
      <c r="C165" s="3">
        <v>1021968</v>
      </c>
      <c r="D165" s="3">
        <v>1203441</v>
      </c>
      <c r="E165" s="3">
        <v>12376503</v>
      </c>
      <c r="F165" s="3">
        <v>0</v>
      </c>
      <c r="G165" s="3">
        <v>0</v>
      </c>
      <c r="H165" s="3">
        <v>9129751</v>
      </c>
      <c r="I165" s="3">
        <v>2997444</v>
      </c>
      <c r="J165" s="3">
        <v>56160</v>
      </c>
      <c r="K165" s="3">
        <v>274655</v>
      </c>
      <c r="L165" s="3">
        <f t="shared" si="5"/>
        <v>27059922</v>
      </c>
      <c r="M165" s="4">
        <f>CONVERT(Table6[[#This Row],[Estimation Total]],"byte","Gibyte")</f>
        <v>2.5201516225934029E-2</v>
      </c>
    </row>
    <row r="166" spans="1:13" x14ac:dyDescent="0.2">
      <c r="A166" t="s">
        <v>731</v>
      </c>
      <c r="B166" t="s">
        <v>732</v>
      </c>
      <c r="C166" s="3">
        <v>542241</v>
      </c>
      <c r="D166" s="3">
        <v>32406</v>
      </c>
      <c r="E166" s="3">
        <v>2977596</v>
      </c>
      <c r="F166" s="3">
        <v>0</v>
      </c>
      <c r="G166" s="3">
        <v>0</v>
      </c>
      <c r="H166" s="3">
        <v>2084462</v>
      </c>
      <c r="I166" s="3">
        <v>1741758</v>
      </c>
      <c r="J166" s="3">
        <v>165048</v>
      </c>
      <c r="K166" s="3">
        <v>170185</v>
      </c>
      <c r="L166" s="3">
        <f t="shared" si="5"/>
        <v>7713696</v>
      </c>
      <c r="M166" s="4">
        <f>CONVERT(Table6[[#This Row],[Estimation Total]],"byte","Gibyte")</f>
        <v>7.1839392185211182E-3</v>
      </c>
    </row>
    <row r="167" spans="1:13" x14ac:dyDescent="0.2">
      <c r="A167" s="1" t="s">
        <v>692</v>
      </c>
      <c r="B167" t="s">
        <v>693</v>
      </c>
      <c r="C167" s="3">
        <v>2038500</v>
      </c>
      <c r="D167" s="3">
        <v>1511298</v>
      </c>
      <c r="E167" s="3">
        <v>3047166</v>
      </c>
      <c r="F167" s="3">
        <v>0</v>
      </c>
      <c r="G167" s="3">
        <v>0</v>
      </c>
      <c r="H167" s="3">
        <v>36105</v>
      </c>
      <c r="I167" s="3">
        <v>0</v>
      </c>
      <c r="J167" s="3">
        <v>141648</v>
      </c>
      <c r="K167" s="3">
        <v>346099</v>
      </c>
      <c r="L167" s="3">
        <f t="shared" si="5"/>
        <v>7120816</v>
      </c>
      <c r="M167" s="4">
        <f>CONVERT(Table6[[#This Row],[Estimation Total]],"byte","Gibyte")</f>
        <v>6.6317766904830933E-3</v>
      </c>
    </row>
    <row r="168" spans="1:13" x14ac:dyDescent="0.2">
      <c r="A168" t="s">
        <v>739</v>
      </c>
      <c r="B168" t="s">
        <v>740</v>
      </c>
      <c r="C168" s="3">
        <v>118233</v>
      </c>
      <c r="D168" s="3">
        <v>125205</v>
      </c>
      <c r="E168" s="3">
        <v>542646</v>
      </c>
      <c r="F168" s="3">
        <v>0</v>
      </c>
      <c r="G168" s="3">
        <v>0</v>
      </c>
      <c r="H168" s="3">
        <v>255142</v>
      </c>
      <c r="I168" s="3">
        <v>594088</v>
      </c>
      <c r="J168" s="3">
        <v>0</v>
      </c>
      <c r="K168" s="3">
        <v>27634</v>
      </c>
      <c r="L168" s="3">
        <f t="shared" si="5"/>
        <v>1662948</v>
      </c>
      <c r="M168" s="4">
        <f>CONVERT(Table6[[#This Row],[Estimation Total]],"byte","Gibyte")</f>
        <v>1.5487410128116608E-3</v>
      </c>
    </row>
    <row r="169" spans="1:13" x14ac:dyDescent="0.2">
      <c r="A169" t="s">
        <v>405</v>
      </c>
      <c r="B169" t="s">
        <v>406</v>
      </c>
      <c r="C169" s="3">
        <v>591165</v>
      </c>
      <c r="D169" s="3">
        <v>132570</v>
      </c>
      <c r="E169" s="3">
        <v>521775</v>
      </c>
      <c r="F169" s="3">
        <v>0</v>
      </c>
      <c r="G169" s="3">
        <v>0</v>
      </c>
      <c r="H169" s="3">
        <v>0</v>
      </c>
      <c r="I169" s="3">
        <v>94514</v>
      </c>
      <c r="J169" s="3">
        <v>0</v>
      </c>
      <c r="K169" s="3">
        <v>30330</v>
      </c>
      <c r="L169" s="3">
        <f t="shared" si="5"/>
        <v>1370354</v>
      </c>
      <c r="M169" s="4">
        <f>CONVERT(Table6[[#This Row],[Estimation Total]],"byte","Gibyte")</f>
        <v>1.2762416154146194E-3</v>
      </c>
    </row>
    <row r="170" spans="1:13" x14ac:dyDescent="0.2">
      <c r="A170" t="s">
        <v>204</v>
      </c>
      <c r="B170" t="s">
        <v>205</v>
      </c>
      <c r="C170" s="3">
        <v>38052</v>
      </c>
      <c r="D170" s="3">
        <v>47136</v>
      </c>
      <c r="E170" s="3">
        <v>257409</v>
      </c>
      <c r="F170" s="3">
        <v>885</v>
      </c>
      <c r="G170" s="3">
        <v>2226</v>
      </c>
      <c r="H170" s="3">
        <v>156455</v>
      </c>
      <c r="I170" s="3">
        <v>351052</v>
      </c>
      <c r="J170" s="3">
        <v>2808</v>
      </c>
      <c r="K170" s="3">
        <v>11121</v>
      </c>
      <c r="L170" s="3">
        <f t="shared" si="5"/>
        <v>867144</v>
      </c>
      <c r="M170" s="4">
        <f>CONVERT(Table6[[#This Row],[Estimation Total]],"byte","Gibyte")</f>
        <v>8.075907826423645E-4</v>
      </c>
    </row>
    <row r="171" spans="1:13" x14ac:dyDescent="0.2">
      <c r="A171" t="s">
        <v>145</v>
      </c>
      <c r="B171" t="s">
        <v>146</v>
      </c>
      <c r="C171" s="3">
        <v>13590</v>
      </c>
      <c r="D171" s="3">
        <v>14730</v>
      </c>
      <c r="E171" s="3">
        <v>76527</v>
      </c>
      <c r="F171" s="3">
        <v>0</v>
      </c>
      <c r="G171" s="3">
        <v>0</v>
      </c>
      <c r="H171" s="3">
        <v>0</v>
      </c>
      <c r="I171" s="3">
        <v>202530</v>
      </c>
      <c r="J171" s="3">
        <v>0</v>
      </c>
      <c r="K171" s="3">
        <v>5392</v>
      </c>
      <c r="L171" s="3">
        <f t="shared" si="5"/>
        <v>312769</v>
      </c>
      <c r="M171" s="4">
        <f>CONVERT(Table6[[#This Row],[Estimation Total]],"byte","Gibyte")</f>
        <v>2.912888303399086E-4</v>
      </c>
    </row>
    <row r="172" spans="1:13" x14ac:dyDescent="0.2">
      <c r="A172" t="s">
        <v>409</v>
      </c>
      <c r="B172" t="s">
        <v>410</v>
      </c>
      <c r="C172" s="3">
        <v>5436</v>
      </c>
      <c r="D172" s="3">
        <v>4419</v>
      </c>
      <c r="E172" s="3">
        <v>90441</v>
      </c>
      <c r="F172" s="3">
        <v>0</v>
      </c>
      <c r="G172" s="3">
        <v>0</v>
      </c>
      <c r="H172" s="3">
        <v>0</v>
      </c>
      <c r="I172" s="3">
        <v>162024</v>
      </c>
      <c r="J172" s="3">
        <v>0</v>
      </c>
      <c r="K172" s="3">
        <v>1011</v>
      </c>
      <c r="L172" s="3">
        <f t="shared" si="5"/>
        <v>263331</v>
      </c>
      <c r="M172" s="4">
        <f>CONVERT(Table6[[#This Row],[Estimation Total]],"byte","Gibyte")</f>
        <v>2.4524610489606857E-4</v>
      </c>
    </row>
    <row r="173" spans="1:13" x14ac:dyDescent="0.2">
      <c r="A173" t="s">
        <v>550</v>
      </c>
      <c r="B173" t="s">
        <v>551</v>
      </c>
      <c r="C173" s="3">
        <v>5436</v>
      </c>
      <c r="D173" s="3">
        <v>5892</v>
      </c>
      <c r="E173" s="3">
        <v>83484</v>
      </c>
      <c r="F173" s="3">
        <v>0</v>
      </c>
      <c r="G173" s="3">
        <v>0</v>
      </c>
      <c r="H173" s="3">
        <v>74617</v>
      </c>
      <c r="I173" s="3">
        <v>40506</v>
      </c>
      <c r="J173" s="3">
        <v>0</v>
      </c>
      <c r="K173" s="3">
        <v>1348</v>
      </c>
      <c r="L173" s="3">
        <f t="shared" si="5"/>
        <v>211283</v>
      </c>
      <c r="M173" s="4">
        <f>CONVERT(Table6[[#This Row],[Estimation Total]],"byte","Gibyte")</f>
        <v>1.9677262753248215E-4</v>
      </c>
    </row>
    <row r="174" spans="1:13" x14ac:dyDescent="0.2">
      <c r="A174" t="s">
        <v>562</v>
      </c>
      <c r="B174" t="s">
        <v>563</v>
      </c>
      <c r="C174" s="3">
        <v>2718</v>
      </c>
      <c r="D174" s="3">
        <v>2946</v>
      </c>
      <c r="E174" s="3">
        <v>34785</v>
      </c>
      <c r="F174" s="3">
        <v>0</v>
      </c>
      <c r="G174" s="3">
        <v>0</v>
      </c>
      <c r="H174" s="3">
        <v>33698</v>
      </c>
      <c r="I174" s="3">
        <v>27004</v>
      </c>
      <c r="J174" s="3">
        <v>0</v>
      </c>
      <c r="K174" s="3">
        <v>674</v>
      </c>
      <c r="L174" s="3">
        <f t="shared" si="5"/>
        <v>101825</v>
      </c>
      <c r="M174" s="4">
        <f>CONVERT(Table6[[#This Row],[Estimation Total]],"byte","Gibyte")</f>
        <v>9.48319211602211E-5</v>
      </c>
    </row>
    <row r="175" spans="1:13" x14ac:dyDescent="0.2">
      <c r="A175" t="s">
        <v>790</v>
      </c>
      <c r="B175" t="s">
        <v>791</v>
      </c>
      <c r="C175" s="3">
        <v>6795</v>
      </c>
      <c r="D175" s="3">
        <v>7365</v>
      </c>
      <c r="E175" s="3">
        <v>34785</v>
      </c>
      <c r="F175" s="3">
        <v>0</v>
      </c>
      <c r="G175" s="3">
        <v>0</v>
      </c>
      <c r="H175" s="3">
        <v>12035</v>
      </c>
      <c r="I175" s="3">
        <v>0</v>
      </c>
      <c r="J175" s="3">
        <v>0</v>
      </c>
      <c r="K175" s="3">
        <v>1685</v>
      </c>
      <c r="L175" s="3">
        <f t="shared" si="5"/>
        <v>62665</v>
      </c>
      <c r="M175" s="4">
        <f>CONVERT(Table6[[#This Row],[Estimation Total]],"byte","Gibyte")</f>
        <v>5.8361329138278961E-5</v>
      </c>
    </row>
    <row r="176" spans="1:13" x14ac:dyDescent="0.2">
      <c r="A176" t="s">
        <v>655</v>
      </c>
      <c r="B176" t="s">
        <v>656</v>
      </c>
      <c r="C176" s="3">
        <v>27180</v>
      </c>
      <c r="D176" s="3">
        <v>27987</v>
      </c>
      <c r="E176" s="3">
        <v>0</v>
      </c>
      <c r="F176" s="3">
        <v>0</v>
      </c>
      <c r="G176" s="3">
        <v>0</v>
      </c>
      <c r="H176" s="3">
        <v>0</v>
      </c>
      <c r="I176" s="3">
        <v>0</v>
      </c>
      <c r="J176" s="3">
        <v>0</v>
      </c>
      <c r="K176" s="3">
        <v>6740</v>
      </c>
      <c r="L176" s="3">
        <f t="shared" si="5"/>
        <v>61907</v>
      </c>
      <c r="M176" s="4">
        <f>CONVERT(Table6[[#This Row],[Estimation Total]],"byte","Gibyte")</f>
        <v>5.7655386626720428E-5</v>
      </c>
    </row>
    <row r="177" spans="1:13" x14ac:dyDescent="0.2">
      <c r="A177" t="s">
        <v>705</v>
      </c>
      <c r="B177" t="s">
        <v>706</v>
      </c>
      <c r="C177" s="3">
        <v>16308</v>
      </c>
      <c r="D177" s="3">
        <v>17676</v>
      </c>
      <c r="E177" s="3">
        <v>0</v>
      </c>
      <c r="F177" s="3">
        <v>0</v>
      </c>
      <c r="G177" s="3">
        <v>0</v>
      </c>
      <c r="H177" s="3">
        <v>0</v>
      </c>
      <c r="I177" s="3">
        <v>0</v>
      </c>
      <c r="J177" s="3">
        <v>0</v>
      </c>
      <c r="K177" s="3">
        <v>4044</v>
      </c>
      <c r="L177" s="3">
        <f t="shared" si="5"/>
        <v>38028</v>
      </c>
      <c r="M177" s="4">
        <f>CONVERT(Table6[[#This Row],[Estimation Total]],"byte","Gibyte")</f>
        <v>3.5416334867477417E-5</v>
      </c>
    </row>
    <row r="178" spans="1:13" x14ac:dyDescent="0.2">
      <c r="A178" t="s">
        <v>95</v>
      </c>
      <c r="B178" t="s">
        <v>96</v>
      </c>
      <c r="C178" s="3">
        <v>6795</v>
      </c>
      <c r="D178" s="3">
        <v>7365</v>
      </c>
      <c r="E178" s="3">
        <v>0</v>
      </c>
      <c r="F178" s="3">
        <v>0</v>
      </c>
      <c r="G178" s="3">
        <v>0</v>
      </c>
      <c r="H178" s="3">
        <v>0</v>
      </c>
      <c r="I178" s="3">
        <v>0</v>
      </c>
      <c r="J178" s="3">
        <v>0</v>
      </c>
      <c r="K178" s="3">
        <v>1348</v>
      </c>
      <c r="L178" s="3">
        <f t="shared" si="5"/>
        <v>15508</v>
      </c>
      <c r="M178" s="4">
        <f>CONVERT(Table6[[#This Row],[Estimation Total]],"byte","Gibyte")</f>
        <v>1.4442950487136841E-5</v>
      </c>
    </row>
    <row r="179" spans="1:13" x14ac:dyDescent="0.2">
      <c r="A179" t="s">
        <v>833</v>
      </c>
      <c r="B179" t="s">
        <v>834</v>
      </c>
      <c r="C179" s="3">
        <v>1359</v>
      </c>
      <c r="D179" s="3">
        <v>1473</v>
      </c>
      <c r="E179" s="3">
        <v>6957</v>
      </c>
      <c r="F179" s="3">
        <v>0</v>
      </c>
      <c r="G179" s="3">
        <v>0</v>
      </c>
      <c r="H179" s="3">
        <v>2407</v>
      </c>
      <c r="I179" s="3">
        <v>0</v>
      </c>
      <c r="J179" s="3">
        <v>312</v>
      </c>
      <c r="K179" s="3">
        <v>0</v>
      </c>
      <c r="L179" s="3">
        <f t="shared" si="5"/>
        <v>12508</v>
      </c>
      <c r="M179" s="4">
        <f>CONVERT(Table6[[#This Row],[Estimation Total]],"byte","Gibyte")</f>
        <v>1.1648982763290405E-5</v>
      </c>
    </row>
    <row r="180" spans="1:13" x14ac:dyDescent="0.2">
      <c r="A180" t="s">
        <v>660</v>
      </c>
      <c r="B180" t="s">
        <v>661</v>
      </c>
      <c r="C180" s="3">
        <v>2718</v>
      </c>
      <c r="D180" s="3">
        <v>2946</v>
      </c>
      <c r="E180" s="3">
        <v>0</v>
      </c>
      <c r="F180" s="3">
        <v>0</v>
      </c>
      <c r="G180" s="3">
        <v>0</v>
      </c>
      <c r="H180" s="3">
        <v>0</v>
      </c>
      <c r="I180" s="3">
        <v>0</v>
      </c>
      <c r="J180" s="3">
        <v>0</v>
      </c>
      <c r="K180" s="3">
        <v>674</v>
      </c>
      <c r="L180" s="3">
        <f t="shared" si="5"/>
        <v>6338</v>
      </c>
      <c r="M180" s="4">
        <f>CONVERT(Table6[[#This Row],[Estimation Total]],"byte","Gibyte")</f>
        <v>5.9027224779129028E-6</v>
      </c>
    </row>
    <row r="181" spans="1:13" x14ac:dyDescent="0.2">
      <c r="A181" t="s">
        <v>651</v>
      </c>
      <c r="B181" t="s">
        <v>652</v>
      </c>
      <c r="C181" s="3">
        <v>2718</v>
      </c>
      <c r="D181" s="3">
        <v>2946</v>
      </c>
      <c r="E181" s="3">
        <v>0</v>
      </c>
      <c r="F181" s="3">
        <v>0</v>
      </c>
      <c r="G181" s="3">
        <v>0</v>
      </c>
      <c r="H181" s="3">
        <v>0</v>
      </c>
      <c r="I181" s="3">
        <v>0</v>
      </c>
      <c r="J181" s="3">
        <v>0</v>
      </c>
      <c r="K181" s="3">
        <v>337</v>
      </c>
      <c r="L181" s="3">
        <f t="shared" si="5"/>
        <v>6001</v>
      </c>
      <c r="M181" s="4">
        <f>CONVERT(Table6[[#This Row],[Estimation Total]],"byte","Gibyte")</f>
        <v>5.5888667702674866E-6</v>
      </c>
    </row>
    <row r="182" spans="1:13" x14ac:dyDescent="0.2">
      <c r="A182" t="s">
        <v>336</v>
      </c>
      <c r="B182" t="s">
        <v>337</v>
      </c>
      <c r="C182" s="3">
        <v>1359</v>
      </c>
      <c r="D182" s="3">
        <v>1473</v>
      </c>
      <c r="E182" s="3">
        <v>0</v>
      </c>
      <c r="F182" s="3">
        <v>0</v>
      </c>
      <c r="G182" s="3">
        <v>0</v>
      </c>
      <c r="H182" s="3">
        <v>0</v>
      </c>
      <c r="I182" s="3">
        <v>0</v>
      </c>
      <c r="J182" s="3">
        <v>0</v>
      </c>
      <c r="K182" s="3">
        <v>337</v>
      </c>
      <c r="L182" s="3">
        <f t="shared" si="5"/>
        <v>3169</v>
      </c>
      <c r="M182" s="4">
        <f>CONVERT(Table6[[#This Row],[Estimation Total]],"byte","Gibyte")</f>
        <v>2.9513612389564514E-6</v>
      </c>
    </row>
    <row r="183" spans="1:13" x14ac:dyDescent="0.2">
      <c r="A183" t="s">
        <v>140</v>
      </c>
      <c r="B183" t="s">
        <v>141</v>
      </c>
      <c r="C183" s="3">
        <v>0</v>
      </c>
      <c r="D183" s="3">
        <v>0</v>
      </c>
      <c r="E183" s="3">
        <v>0</v>
      </c>
      <c r="F183" s="3">
        <v>0</v>
      </c>
      <c r="G183" s="3">
        <v>0</v>
      </c>
      <c r="H183" s="3">
        <v>0</v>
      </c>
      <c r="I183" s="3">
        <v>0</v>
      </c>
      <c r="J183" s="3">
        <v>0</v>
      </c>
      <c r="K183" s="3">
        <v>0</v>
      </c>
      <c r="L183" s="3">
        <f t="shared" si="5"/>
        <v>0</v>
      </c>
      <c r="M183" s="4">
        <f>CONVERT(Table6[[#This Row],[Estimation Total]],"byte","Gibyte")</f>
        <v>0</v>
      </c>
    </row>
    <row r="184" spans="1:13" x14ac:dyDescent="0.2">
      <c r="A184" t="s">
        <v>527</v>
      </c>
      <c r="B184" t="s">
        <v>528</v>
      </c>
      <c r="C184" s="3">
        <v>0</v>
      </c>
      <c r="D184" s="3">
        <v>0</v>
      </c>
      <c r="E184" s="3">
        <v>0</v>
      </c>
      <c r="F184" s="3">
        <v>0</v>
      </c>
      <c r="G184" s="3">
        <v>0</v>
      </c>
      <c r="H184" s="3">
        <v>0</v>
      </c>
      <c r="I184" s="3">
        <v>0</v>
      </c>
      <c r="J184" s="3">
        <v>0</v>
      </c>
      <c r="K184" s="3">
        <v>0</v>
      </c>
      <c r="L184" s="3">
        <f t="shared" si="5"/>
        <v>0</v>
      </c>
      <c r="M184" s="4">
        <f>CONVERT(Table6[[#This Row],[Estimation Total]],"byte","Gibyte")</f>
        <v>0</v>
      </c>
    </row>
    <row r="185" spans="1:13" x14ac:dyDescent="0.2">
      <c r="A185" t="s">
        <v>665</v>
      </c>
      <c r="B185" t="s">
        <v>666</v>
      </c>
      <c r="C185" s="3">
        <v>0</v>
      </c>
      <c r="D185" s="3">
        <v>0</v>
      </c>
      <c r="E185" s="3">
        <v>0</v>
      </c>
      <c r="F185" s="3">
        <v>0</v>
      </c>
      <c r="G185" s="3">
        <v>0</v>
      </c>
      <c r="H185" s="3">
        <v>0</v>
      </c>
      <c r="I185" s="3">
        <v>0</v>
      </c>
      <c r="J185" s="3">
        <v>0</v>
      </c>
      <c r="K185" s="3">
        <v>0</v>
      </c>
      <c r="L185" s="3">
        <f t="shared" si="5"/>
        <v>0</v>
      </c>
      <c r="M185" s="4">
        <f>CONVERT(Table6[[#This Row],[Estimation Total]],"byte","Gibyte")</f>
        <v>0</v>
      </c>
    </row>
    <row r="186" spans="1:13" x14ac:dyDescent="0.2">
      <c r="A186" t="s">
        <v>696</v>
      </c>
      <c r="B186" t="s">
        <v>697</v>
      </c>
      <c r="C186" s="3">
        <v>0</v>
      </c>
      <c r="D186" s="3">
        <v>0</v>
      </c>
      <c r="E186" s="3">
        <v>0</v>
      </c>
      <c r="F186" s="3">
        <v>0</v>
      </c>
      <c r="G186" s="3">
        <v>0</v>
      </c>
      <c r="H186" s="3">
        <v>0</v>
      </c>
      <c r="I186" s="3">
        <v>0</v>
      </c>
      <c r="J186" s="3">
        <v>0</v>
      </c>
      <c r="K186" s="3">
        <v>0</v>
      </c>
      <c r="L186" s="3">
        <f t="shared" si="5"/>
        <v>0</v>
      </c>
      <c r="M186" s="4">
        <f>CONVERT(Table6[[#This Row],[Estimation Total]],"byte","Gibyte")</f>
        <v>0</v>
      </c>
    </row>
    <row r="187" spans="1:13" x14ac:dyDescent="0.2">
      <c r="A187" t="s">
        <v>700</v>
      </c>
      <c r="B187" t="s">
        <v>701</v>
      </c>
      <c r="C187" s="3">
        <v>0</v>
      </c>
      <c r="D187" s="3">
        <v>0</v>
      </c>
      <c r="E187" s="3">
        <v>0</v>
      </c>
      <c r="F187" s="3">
        <v>0</v>
      </c>
      <c r="G187" s="3">
        <v>0</v>
      </c>
      <c r="H187" s="3">
        <v>0</v>
      </c>
      <c r="I187" s="3">
        <v>0</v>
      </c>
      <c r="J187" s="3">
        <v>0</v>
      </c>
      <c r="K187" s="3">
        <v>0</v>
      </c>
      <c r="L187" s="3">
        <f t="shared" si="5"/>
        <v>0</v>
      </c>
      <c r="M187" s="4">
        <f>CONVERT(Table6[[#This Row],[Estimation Total]],"byte","Gibyte")</f>
        <v>0</v>
      </c>
    </row>
    <row r="188" spans="1:13" x14ac:dyDescent="0.2">
      <c r="A188" t="s">
        <v>746</v>
      </c>
      <c r="B188" t="s">
        <v>747</v>
      </c>
      <c r="C188" s="3">
        <v>0</v>
      </c>
      <c r="D188" s="3">
        <v>0</v>
      </c>
      <c r="E188" s="3">
        <v>0</v>
      </c>
      <c r="F188" s="3">
        <v>0</v>
      </c>
      <c r="G188" s="3">
        <v>0</v>
      </c>
      <c r="H188" s="3">
        <v>0</v>
      </c>
      <c r="I188" s="3">
        <v>0</v>
      </c>
      <c r="J188" s="3">
        <v>0</v>
      </c>
      <c r="K188" s="3">
        <v>0</v>
      </c>
      <c r="L188" s="3">
        <f t="shared" si="5"/>
        <v>0</v>
      </c>
      <c r="M188" s="4">
        <f>CONVERT(Table6[[#This Row],[Estimation Total]],"byte","Gibyte")</f>
        <v>0</v>
      </c>
    </row>
    <row r="189" spans="1:13" x14ac:dyDescent="0.2">
      <c r="A189" t="s">
        <v>754</v>
      </c>
      <c r="B189" t="s">
        <v>755</v>
      </c>
      <c r="C189" s="3">
        <v>0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J189" s="3">
        <v>0</v>
      </c>
      <c r="K189" s="3">
        <v>0</v>
      </c>
      <c r="L189" s="3">
        <f t="shared" si="5"/>
        <v>0</v>
      </c>
      <c r="M189" s="4">
        <f>CONVERT(Table6[[#This Row],[Estimation Total]],"byte","Gibyte")</f>
        <v>0</v>
      </c>
    </row>
    <row r="190" spans="1:13" x14ac:dyDescent="0.2">
      <c r="A190" t="s">
        <v>782</v>
      </c>
      <c r="B190" t="s">
        <v>783</v>
      </c>
      <c r="C190" s="3">
        <v>0</v>
      </c>
      <c r="D190" s="3">
        <v>0</v>
      </c>
      <c r="E190" s="3">
        <v>0</v>
      </c>
      <c r="F190" s="3">
        <v>0</v>
      </c>
      <c r="G190" s="3">
        <v>0</v>
      </c>
      <c r="H190" s="3">
        <v>0</v>
      </c>
      <c r="I190" s="3">
        <v>0</v>
      </c>
      <c r="J190" s="3">
        <v>0</v>
      </c>
      <c r="K190" s="3">
        <v>0</v>
      </c>
      <c r="L190" s="3">
        <f t="shared" si="5"/>
        <v>0</v>
      </c>
      <c r="M190" s="4">
        <f>CONVERT(Table6[[#This Row],[Estimation Total]],"byte","Gibyte")</f>
        <v>0</v>
      </c>
    </row>
    <row r="191" spans="1:13" x14ac:dyDescent="0.2">
      <c r="A191" t="s">
        <v>837</v>
      </c>
      <c r="B191" t="s">
        <v>838</v>
      </c>
      <c r="C191" s="3">
        <v>0</v>
      </c>
      <c r="D191" s="3">
        <v>0</v>
      </c>
      <c r="E191" s="3">
        <v>0</v>
      </c>
      <c r="F191" s="3">
        <v>0</v>
      </c>
      <c r="G191" s="3">
        <v>0</v>
      </c>
      <c r="H191" s="3">
        <v>0</v>
      </c>
      <c r="I191" s="3">
        <v>0</v>
      </c>
      <c r="J191" s="3">
        <v>0</v>
      </c>
      <c r="K191" s="3">
        <v>0</v>
      </c>
      <c r="L191" s="3">
        <f t="shared" si="5"/>
        <v>0</v>
      </c>
      <c r="M191" s="4">
        <f>CONVERT(Table6[[#This Row],[Estimation Total]],"byte","Gibyte")</f>
        <v>0</v>
      </c>
    </row>
    <row r="192" spans="1:13" x14ac:dyDescent="0.2">
      <c r="A192" t="s">
        <v>841</v>
      </c>
      <c r="B192" t="s">
        <v>842</v>
      </c>
      <c r="C192" s="3">
        <v>0</v>
      </c>
      <c r="D192" s="3">
        <v>0</v>
      </c>
      <c r="E192" s="3">
        <v>0</v>
      </c>
      <c r="F192" s="3">
        <v>0</v>
      </c>
      <c r="G192" s="3">
        <v>0</v>
      </c>
      <c r="H192" s="3">
        <v>0</v>
      </c>
      <c r="I192" s="3">
        <v>0</v>
      </c>
      <c r="J192" s="3">
        <v>0</v>
      </c>
      <c r="K192" s="3">
        <v>0</v>
      </c>
      <c r="L192" s="3">
        <f t="shared" si="5"/>
        <v>0</v>
      </c>
      <c r="M192" s="4">
        <f>CONVERT(Table6[[#This Row],[Estimation Total]],"byte","Gibyte")</f>
        <v>0</v>
      </c>
    </row>
    <row r="193" spans="1:13" x14ac:dyDescent="0.2">
      <c r="A193" t="s">
        <v>845</v>
      </c>
      <c r="B193" t="s">
        <v>846</v>
      </c>
      <c r="C193" s="3">
        <v>0</v>
      </c>
      <c r="D193" s="3">
        <v>0</v>
      </c>
      <c r="E193" s="3">
        <v>0</v>
      </c>
      <c r="F193" s="3">
        <v>0</v>
      </c>
      <c r="G193" s="3">
        <v>0</v>
      </c>
      <c r="H193" s="3">
        <v>0</v>
      </c>
      <c r="I193" s="3">
        <v>0</v>
      </c>
      <c r="J193" s="3">
        <v>0</v>
      </c>
      <c r="K193" s="3">
        <v>0</v>
      </c>
      <c r="L193" s="3">
        <f t="shared" si="5"/>
        <v>0</v>
      </c>
      <c r="M193" s="4">
        <f>CONVERT(Table6[[#This Row],[Estimation Total]],"byte","Gibyte")</f>
        <v>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Q194"/>
  <sheetViews>
    <sheetView workbookViewId="0">
      <pane ySplit="1" topLeftCell="A172" activePane="bottomLeft" state="frozen"/>
      <selection activeCell="C1" sqref="C1"/>
      <selection pane="bottomLeft" activeCell="P198" sqref="P198"/>
    </sheetView>
  </sheetViews>
  <sheetFormatPr baseColWidth="10" defaultRowHeight="16" x14ac:dyDescent="0.2"/>
  <cols>
    <col min="1" max="1" width="25.5" bestFit="1" customWidth="1"/>
    <col min="2" max="2" width="56" bestFit="1" customWidth="1"/>
    <col min="3" max="3" width="54.1640625" hidden="1" customWidth="1"/>
    <col min="4" max="4" width="15.6640625" hidden="1" customWidth="1"/>
    <col min="5" max="5" width="54.1640625" hidden="1" customWidth="1"/>
    <col min="6" max="6" width="16.1640625" hidden="1" customWidth="1"/>
    <col min="7" max="7" width="52.83203125" hidden="1" customWidth="1"/>
    <col min="8" max="8" width="14.5" style="3" customWidth="1"/>
    <col min="9" max="9" width="16.83203125" style="3" customWidth="1"/>
    <col min="10" max="10" width="17.5" style="3" customWidth="1"/>
    <col min="11" max="11" width="17.6640625" style="3" customWidth="1"/>
    <col min="12" max="12" width="19.83203125" style="3" customWidth="1"/>
    <col min="13" max="13" width="27.5" style="3" customWidth="1"/>
    <col min="14" max="14" width="14.83203125" style="3" customWidth="1"/>
    <col min="15" max="15" width="15.33203125" style="3" customWidth="1"/>
    <col min="16" max="16" width="12" style="3" customWidth="1"/>
  </cols>
  <sheetData>
    <row r="1" spans="1:17" x14ac:dyDescent="0.2">
      <c r="A1" t="s">
        <v>0</v>
      </c>
      <c r="B1" t="s">
        <v>1</v>
      </c>
      <c r="C1" t="s">
        <v>2</v>
      </c>
      <c r="D1" s="2" t="s">
        <v>3</v>
      </c>
      <c r="E1" t="s">
        <v>4</v>
      </c>
      <c r="F1" s="2" t="s">
        <v>5</v>
      </c>
      <c r="G1" t="s">
        <v>6</v>
      </c>
      <c r="H1" s="3" t="s">
        <v>7</v>
      </c>
      <c r="I1" s="3" t="s">
        <v>8</v>
      </c>
      <c r="J1" s="3" t="s">
        <v>9</v>
      </c>
      <c r="K1" s="3" t="s">
        <v>10</v>
      </c>
      <c r="L1" s="3" t="s">
        <v>11</v>
      </c>
      <c r="M1" s="3" t="s">
        <v>12</v>
      </c>
      <c r="N1" s="3" t="s">
        <v>13</v>
      </c>
      <c r="O1" s="3" t="s">
        <v>14</v>
      </c>
      <c r="P1" s="3" t="s">
        <v>15</v>
      </c>
      <c r="Q1" t="s">
        <v>873</v>
      </c>
    </row>
    <row r="2" spans="1:17" x14ac:dyDescent="0.2">
      <c r="A2" t="s">
        <v>393</v>
      </c>
      <c r="B2" t="s">
        <v>394</v>
      </c>
      <c r="C2" t="s">
        <v>395</v>
      </c>
      <c r="D2" s="2">
        <v>1371590000000</v>
      </c>
      <c r="E2" t="s">
        <v>396</v>
      </c>
      <c r="F2" s="2">
        <v>1619790000000</v>
      </c>
      <c r="G2" t="s">
        <v>212</v>
      </c>
      <c r="H2" s="3">
        <v>3151709</v>
      </c>
      <c r="I2" s="3">
        <v>12756250</v>
      </c>
      <c r="J2" s="3">
        <v>2170976</v>
      </c>
      <c r="K2" s="3">
        <v>1</v>
      </c>
      <c r="L2" s="3">
        <v>140</v>
      </c>
      <c r="M2" s="3">
        <v>291832</v>
      </c>
      <c r="N2" s="3">
        <v>70408</v>
      </c>
      <c r="O2" s="3">
        <v>0</v>
      </c>
      <c r="P2" s="3">
        <v>16124124</v>
      </c>
      <c r="Q2" s="3">
        <f>SUM(H2:P2)</f>
        <v>34565440</v>
      </c>
    </row>
    <row r="3" spans="1:17" x14ac:dyDescent="0.2">
      <c r="A3" t="s">
        <v>507</v>
      </c>
      <c r="B3" t="s">
        <v>508</v>
      </c>
      <c r="C3" t="s">
        <v>509</v>
      </c>
      <c r="D3" s="2">
        <v>1366660000000</v>
      </c>
      <c r="E3" t="s">
        <v>510</v>
      </c>
      <c r="F3" s="2">
        <v>1617390000000</v>
      </c>
      <c r="G3" t="s">
        <v>20</v>
      </c>
      <c r="H3" s="3">
        <v>2450898</v>
      </c>
      <c r="I3" s="3">
        <v>5714583</v>
      </c>
      <c r="J3" s="3">
        <v>541110</v>
      </c>
      <c r="K3" s="3">
        <v>3</v>
      </c>
      <c r="L3" s="3">
        <v>11</v>
      </c>
      <c r="M3" s="3">
        <v>271937</v>
      </c>
      <c r="N3" s="3">
        <v>28209</v>
      </c>
      <c r="O3" s="3">
        <v>0</v>
      </c>
      <c r="P3" s="3">
        <v>11221754</v>
      </c>
      <c r="Q3" s="3">
        <f t="shared" ref="Q3:Q66" si="0">SUM(H3:P3)</f>
        <v>20228505</v>
      </c>
    </row>
    <row r="4" spans="1:17" x14ac:dyDescent="0.2">
      <c r="A4" t="s">
        <v>16</v>
      </c>
      <c r="B4" t="s">
        <v>17</v>
      </c>
      <c r="C4" t="s">
        <v>18</v>
      </c>
      <c r="D4" s="2">
        <v>1426800000000</v>
      </c>
      <c r="E4" t="s">
        <v>19</v>
      </c>
      <c r="F4" s="2">
        <v>1619470000000</v>
      </c>
      <c r="G4" t="s">
        <v>20</v>
      </c>
      <c r="H4" s="3">
        <v>1841584</v>
      </c>
      <c r="I4" s="3">
        <v>7988268</v>
      </c>
      <c r="J4" s="3">
        <v>2457114</v>
      </c>
      <c r="K4" s="3">
        <v>0</v>
      </c>
      <c r="L4" s="3">
        <v>2277</v>
      </c>
      <c r="M4" s="3">
        <v>6180787</v>
      </c>
      <c r="N4" s="3">
        <v>143088</v>
      </c>
      <c r="O4" s="3">
        <v>934</v>
      </c>
      <c r="P4" s="3">
        <v>12448532</v>
      </c>
      <c r="Q4" s="3">
        <f t="shared" si="0"/>
        <v>31062584</v>
      </c>
    </row>
    <row r="5" spans="1:17" x14ac:dyDescent="0.2">
      <c r="A5" t="s">
        <v>388</v>
      </c>
      <c r="B5" t="s">
        <v>389</v>
      </c>
      <c r="C5" t="s">
        <v>390</v>
      </c>
      <c r="D5" s="2">
        <v>1372180000000</v>
      </c>
      <c r="E5" t="s">
        <v>391</v>
      </c>
      <c r="F5" s="2">
        <v>1619200000000</v>
      </c>
      <c r="G5" t="s">
        <v>392</v>
      </c>
      <c r="H5" s="3">
        <v>1239215</v>
      </c>
      <c r="I5" s="3">
        <v>3246521</v>
      </c>
      <c r="J5" s="3">
        <v>1006143</v>
      </c>
      <c r="K5" s="3">
        <v>1</v>
      </c>
      <c r="L5" s="3">
        <v>672</v>
      </c>
      <c r="M5" s="3">
        <v>1558961</v>
      </c>
      <c r="N5" s="3">
        <v>192893</v>
      </c>
      <c r="O5" s="3">
        <v>0</v>
      </c>
      <c r="P5" s="3">
        <v>8840683</v>
      </c>
      <c r="Q5" s="3">
        <f t="shared" si="0"/>
        <v>16085089</v>
      </c>
    </row>
    <row r="6" spans="1:17" x14ac:dyDescent="0.2">
      <c r="A6" t="s">
        <v>60</v>
      </c>
      <c r="B6" t="s">
        <v>61</v>
      </c>
      <c r="C6" t="s">
        <v>62</v>
      </c>
      <c r="D6" s="2">
        <v>1366660000000</v>
      </c>
      <c r="E6" t="s">
        <v>63</v>
      </c>
      <c r="F6" s="2">
        <v>1619620000000</v>
      </c>
      <c r="G6" t="s">
        <v>20</v>
      </c>
      <c r="H6" s="3">
        <v>854842</v>
      </c>
      <c r="I6" s="3">
        <v>7384446</v>
      </c>
      <c r="J6" s="3">
        <v>910158</v>
      </c>
      <c r="K6" s="3">
        <v>2</v>
      </c>
      <c r="L6" s="3">
        <v>533</v>
      </c>
      <c r="M6" s="3">
        <v>1776799</v>
      </c>
      <c r="N6" s="3">
        <v>57487</v>
      </c>
      <c r="O6" s="3">
        <v>413</v>
      </c>
      <c r="P6" s="3">
        <v>8382911</v>
      </c>
      <c r="Q6" s="3">
        <f t="shared" si="0"/>
        <v>19367591</v>
      </c>
    </row>
    <row r="7" spans="1:17" x14ac:dyDescent="0.2">
      <c r="A7" s="1" t="s">
        <v>64</v>
      </c>
      <c r="B7" t="s">
        <v>65</v>
      </c>
      <c r="C7" t="s">
        <v>66</v>
      </c>
      <c r="D7" s="2">
        <v>1429630000000</v>
      </c>
      <c r="E7" t="s">
        <v>67</v>
      </c>
      <c r="F7" s="2">
        <v>1617140000000</v>
      </c>
      <c r="G7" t="s">
        <v>68</v>
      </c>
      <c r="H7" s="3">
        <v>832395</v>
      </c>
      <c r="I7" s="3">
        <v>1821979</v>
      </c>
      <c r="J7" s="3">
        <v>595734</v>
      </c>
      <c r="K7" s="3">
        <v>1</v>
      </c>
      <c r="L7" s="3">
        <v>2982</v>
      </c>
      <c r="M7" s="3">
        <v>2047117</v>
      </c>
      <c r="N7" s="3">
        <v>70731</v>
      </c>
      <c r="O7" s="3">
        <v>779</v>
      </c>
      <c r="P7" s="3">
        <v>1907206</v>
      </c>
      <c r="Q7" s="3">
        <f t="shared" si="0"/>
        <v>7278924</v>
      </c>
    </row>
    <row r="8" spans="1:17" x14ac:dyDescent="0.2">
      <c r="A8" t="s">
        <v>502</v>
      </c>
      <c r="B8" t="s">
        <v>503</v>
      </c>
      <c r="C8" t="s">
        <v>504</v>
      </c>
      <c r="D8" s="2">
        <v>1417480000000</v>
      </c>
      <c r="E8" t="s">
        <v>505</v>
      </c>
      <c r="F8" s="2">
        <v>1619790000000</v>
      </c>
      <c r="G8" t="s">
        <v>506</v>
      </c>
      <c r="H8" s="3">
        <v>748123</v>
      </c>
      <c r="I8" s="3">
        <v>13372847</v>
      </c>
      <c r="J8" s="3">
        <v>333954</v>
      </c>
      <c r="K8" s="3">
        <v>52080</v>
      </c>
      <c r="L8" s="3">
        <v>90</v>
      </c>
      <c r="M8" s="3">
        <v>527425</v>
      </c>
      <c r="N8" s="3">
        <v>21092</v>
      </c>
      <c r="O8" s="3">
        <v>0</v>
      </c>
      <c r="P8" s="3">
        <v>17645878</v>
      </c>
      <c r="Q8" s="3">
        <f t="shared" si="0"/>
        <v>32701489</v>
      </c>
    </row>
    <row r="9" spans="1:17" x14ac:dyDescent="0.2">
      <c r="A9" t="s">
        <v>541</v>
      </c>
      <c r="B9" t="s">
        <v>542</v>
      </c>
      <c r="C9" t="s">
        <v>543</v>
      </c>
      <c r="D9" s="2">
        <v>1424900000000</v>
      </c>
      <c r="E9" t="s">
        <v>544</v>
      </c>
      <c r="F9" s="2">
        <v>1614120000000</v>
      </c>
      <c r="G9" t="s">
        <v>25</v>
      </c>
      <c r="H9" s="3">
        <v>734240</v>
      </c>
      <c r="I9" s="3">
        <v>2074735</v>
      </c>
      <c r="J9" s="3">
        <v>696832</v>
      </c>
      <c r="K9" s="3">
        <v>2</v>
      </c>
      <c r="L9" s="3">
        <v>2141</v>
      </c>
      <c r="M9" s="3">
        <v>2259398</v>
      </c>
      <c r="N9" s="3">
        <v>57448</v>
      </c>
      <c r="O9" s="3">
        <v>0</v>
      </c>
      <c r="P9" s="3">
        <v>2074760</v>
      </c>
      <c r="Q9" s="3">
        <f t="shared" si="0"/>
        <v>7899556</v>
      </c>
    </row>
    <row r="10" spans="1:17" x14ac:dyDescent="0.2">
      <c r="A10" t="s">
        <v>313</v>
      </c>
      <c r="B10" t="s">
        <v>314</v>
      </c>
      <c r="C10" t="s">
        <v>315</v>
      </c>
      <c r="D10" s="2">
        <v>1462180000000</v>
      </c>
      <c r="E10" t="s">
        <v>316</v>
      </c>
      <c r="F10" s="2">
        <v>1619810000000</v>
      </c>
      <c r="G10" t="s">
        <v>114</v>
      </c>
      <c r="H10" s="3">
        <v>658696</v>
      </c>
      <c r="I10" s="3">
        <v>1355294</v>
      </c>
      <c r="J10" s="3">
        <v>1070574</v>
      </c>
      <c r="K10" s="3">
        <v>32070</v>
      </c>
      <c r="L10" s="3">
        <v>2110</v>
      </c>
      <c r="M10" s="3">
        <v>9274827</v>
      </c>
      <c r="N10" s="3">
        <v>15731</v>
      </c>
      <c r="O10" s="3">
        <v>0</v>
      </c>
      <c r="P10" s="3">
        <v>1373407</v>
      </c>
      <c r="Q10" s="3">
        <f t="shared" si="0"/>
        <v>13782709</v>
      </c>
    </row>
    <row r="11" spans="1:17" x14ac:dyDescent="0.2">
      <c r="A11" s="1" t="s">
        <v>545</v>
      </c>
      <c r="B11" t="s">
        <v>546</v>
      </c>
      <c r="C11" t="s">
        <v>547</v>
      </c>
      <c r="D11" s="2">
        <v>1410530000000</v>
      </c>
      <c r="E11" t="s">
        <v>548</v>
      </c>
      <c r="F11" s="2">
        <v>1619190000000</v>
      </c>
      <c r="G11" t="s">
        <v>549</v>
      </c>
      <c r="H11" s="3">
        <v>650233</v>
      </c>
      <c r="I11" s="3">
        <v>1996312</v>
      </c>
      <c r="J11" s="3">
        <v>432888</v>
      </c>
      <c r="K11" s="3">
        <v>0</v>
      </c>
      <c r="L11" s="3">
        <v>40</v>
      </c>
      <c r="M11" s="3">
        <v>200422</v>
      </c>
      <c r="N11" s="3">
        <v>24705</v>
      </c>
      <c r="O11" s="3">
        <v>0</v>
      </c>
      <c r="P11" s="3">
        <v>2876262</v>
      </c>
      <c r="Q11" s="3">
        <f t="shared" si="0"/>
        <v>6180862</v>
      </c>
    </row>
    <row r="12" spans="1:17" x14ac:dyDescent="0.2">
      <c r="A12" t="s">
        <v>591</v>
      </c>
      <c r="B12" t="s">
        <v>592</v>
      </c>
      <c r="C12" t="s">
        <v>593</v>
      </c>
      <c r="D12" s="2">
        <v>1535470000000</v>
      </c>
      <c r="E12" t="s">
        <v>594</v>
      </c>
      <c r="F12" s="2">
        <v>1618500000000</v>
      </c>
      <c r="G12" t="s">
        <v>35</v>
      </c>
      <c r="H12" s="3">
        <v>632703</v>
      </c>
      <c r="I12" s="3">
        <v>2596666</v>
      </c>
      <c r="J12" s="3">
        <v>432670</v>
      </c>
      <c r="K12" s="3">
        <v>0</v>
      </c>
      <c r="L12" s="3">
        <v>0</v>
      </c>
      <c r="M12" s="3">
        <v>0</v>
      </c>
      <c r="N12" s="3">
        <v>1941</v>
      </c>
      <c r="O12" s="3">
        <v>0</v>
      </c>
      <c r="P12" s="3">
        <v>2056240</v>
      </c>
      <c r="Q12" s="3">
        <f t="shared" si="0"/>
        <v>5720220</v>
      </c>
    </row>
    <row r="13" spans="1:17" x14ac:dyDescent="0.2">
      <c r="A13" t="s">
        <v>317</v>
      </c>
      <c r="B13" t="s">
        <v>318</v>
      </c>
      <c r="C13" t="s">
        <v>319</v>
      </c>
      <c r="D13" s="2">
        <v>1462820000000</v>
      </c>
      <c r="E13" t="s">
        <v>320</v>
      </c>
      <c r="F13" s="2">
        <v>1619790000000</v>
      </c>
      <c r="G13" t="s">
        <v>35</v>
      </c>
      <c r="H13" s="3">
        <v>599015</v>
      </c>
      <c r="I13" s="3">
        <v>1996859</v>
      </c>
      <c r="J13" s="3">
        <v>658814</v>
      </c>
      <c r="K13" s="3">
        <v>0</v>
      </c>
      <c r="L13" s="3">
        <v>0</v>
      </c>
      <c r="M13" s="3">
        <v>0</v>
      </c>
      <c r="N13" s="3">
        <v>6848</v>
      </c>
      <c r="O13" s="3">
        <v>0</v>
      </c>
      <c r="P13" s="3">
        <v>3040527</v>
      </c>
      <c r="Q13" s="3">
        <f t="shared" si="0"/>
        <v>6302063</v>
      </c>
    </row>
    <row r="14" spans="1:17" x14ac:dyDescent="0.2">
      <c r="A14" t="s">
        <v>379</v>
      </c>
      <c r="B14" t="s">
        <v>380</v>
      </c>
      <c r="C14" t="s">
        <v>381</v>
      </c>
      <c r="D14" s="2">
        <v>1530800000000</v>
      </c>
      <c r="E14" t="s">
        <v>382</v>
      </c>
      <c r="F14" s="2">
        <v>1618510000000</v>
      </c>
      <c r="G14" t="s">
        <v>383</v>
      </c>
      <c r="H14" s="3">
        <v>513379</v>
      </c>
      <c r="I14" s="3">
        <v>1930492</v>
      </c>
      <c r="J14" s="3">
        <v>321300</v>
      </c>
      <c r="K14" s="3">
        <v>0</v>
      </c>
      <c r="L14" s="3">
        <v>698</v>
      </c>
      <c r="M14" s="3">
        <v>692699</v>
      </c>
      <c r="N14" s="3">
        <v>38855</v>
      </c>
      <c r="O14" s="3">
        <v>0</v>
      </c>
      <c r="P14" s="3">
        <v>2462624</v>
      </c>
      <c r="Q14" s="3">
        <f t="shared" si="0"/>
        <v>5960047</v>
      </c>
    </row>
    <row r="15" spans="1:17" x14ac:dyDescent="0.2">
      <c r="A15" t="s">
        <v>401</v>
      </c>
      <c r="B15" t="s">
        <v>402</v>
      </c>
      <c r="C15" t="s">
        <v>403</v>
      </c>
      <c r="D15" s="2">
        <v>1442500000000</v>
      </c>
      <c r="E15" t="s">
        <v>404</v>
      </c>
      <c r="F15" s="2">
        <v>1618950000000</v>
      </c>
      <c r="G15" t="s">
        <v>20</v>
      </c>
      <c r="H15" s="3">
        <v>457937</v>
      </c>
      <c r="I15" s="3">
        <v>3478814</v>
      </c>
      <c r="J15" s="3">
        <v>756778</v>
      </c>
      <c r="K15" s="3">
        <v>1</v>
      </c>
      <c r="L15" s="3">
        <v>90</v>
      </c>
      <c r="M15" s="3">
        <v>111542</v>
      </c>
      <c r="N15" s="3">
        <v>18768</v>
      </c>
      <c r="O15" s="3">
        <v>0</v>
      </c>
      <c r="P15" s="3">
        <v>4031736</v>
      </c>
      <c r="Q15" s="3">
        <f t="shared" si="0"/>
        <v>8855666</v>
      </c>
    </row>
    <row r="16" spans="1:17" x14ac:dyDescent="0.2">
      <c r="A16" t="s">
        <v>266</v>
      </c>
      <c r="B16" t="s">
        <v>267</v>
      </c>
      <c r="C16" t="s">
        <v>268</v>
      </c>
      <c r="D16" s="2">
        <v>1366670000000</v>
      </c>
      <c r="E16" t="s">
        <v>269</v>
      </c>
      <c r="F16" s="2">
        <v>1619810000000</v>
      </c>
      <c r="G16" t="s">
        <v>68</v>
      </c>
      <c r="H16" s="3">
        <v>448068</v>
      </c>
      <c r="I16" s="3">
        <v>1262991</v>
      </c>
      <c r="J16" s="3">
        <v>232924</v>
      </c>
      <c r="K16" s="3">
        <v>0</v>
      </c>
      <c r="L16" s="3">
        <v>584</v>
      </c>
      <c r="M16" s="3">
        <v>610259</v>
      </c>
      <c r="N16" s="3">
        <v>45675</v>
      </c>
      <c r="O16" s="3">
        <v>0</v>
      </c>
      <c r="P16" s="3">
        <v>1263141</v>
      </c>
      <c r="Q16" s="3">
        <f t="shared" si="0"/>
        <v>3863642</v>
      </c>
    </row>
    <row r="17" spans="1:17" x14ac:dyDescent="0.2">
      <c r="A17" t="s">
        <v>100</v>
      </c>
      <c r="B17" t="s">
        <v>101</v>
      </c>
      <c r="C17" t="s">
        <v>102</v>
      </c>
      <c r="D17" s="2">
        <v>1488900000000</v>
      </c>
      <c r="E17" t="s">
        <v>103</v>
      </c>
      <c r="F17" s="2">
        <v>1618860000000</v>
      </c>
      <c r="G17" t="s">
        <v>20</v>
      </c>
      <c r="H17" s="3">
        <v>408239</v>
      </c>
      <c r="I17" s="3">
        <v>1779216</v>
      </c>
      <c r="J17" s="3">
        <v>788243</v>
      </c>
      <c r="K17" s="3">
        <v>0</v>
      </c>
      <c r="L17" s="3">
        <v>341</v>
      </c>
      <c r="M17" s="3">
        <v>229586</v>
      </c>
      <c r="N17" s="3">
        <v>15139</v>
      </c>
      <c r="O17" s="3">
        <v>283</v>
      </c>
      <c r="P17" s="3">
        <v>2623196</v>
      </c>
      <c r="Q17" s="3">
        <f t="shared" si="0"/>
        <v>5844243</v>
      </c>
    </row>
    <row r="18" spans="1:17" x14ac:dyDescent="0.2">
      <c r="A18" t="s">
        <v>208</v>
      </c>
      <c r="B18" t="s">
        <v>209</v>
      </c>
      <c r="C18" t="s">
        <v>210</v>
      </c>
      <c r="D18" s="2">
        <v>1505790000000</v>
      </c>
      <c r="E18" t="s">
        <v>211</v>
      </c>
      <c r="F18" s="2">
        <v>1618500000000</v>
      </c>
      <c r="G18" t="s">
        <v>212</v>
      </c>
      <c r="H18" s="3">
        <v>401409</v>
      </c>
      <c r="I18" s="3">
        <v>5726047</v>
      </c>
      <c r="J18" s="3">
        <v>601329</v>
      </c>
      <c r="K18" s="3">
        <v>0</v>
      </c>
      <c r="L18" s="3">
        <v>77</v>
      </c>
      <c r="M18" s="3">
        <v>129849</v>
      </c>
      <c r="N18" s="3">
        <v>14321</v>
      </c>
      <c r="O18" s="3">
        <v>0</v>
      </c>
      <c r="P18" s="3">
        <v>6218343</v>
      </c>
      <c r="Q18" s="3">
        <f t="shared" si="0"/>
        <v>13091375</v>
      </c>
    </row>
    <row r="19" spans="1:17" x14ac:dyDescent="0.2">
      <c r="A19" t="s">
        <v>270</v>
      </c>
      <c r="B19" t="s">
        <v>271</v>
      </c>
      <c r="C19" t="s">
        <v>272</v>
      </c>
      <c r="D19" s="2">
        <v>1468350000000</v>
      </c>
      <c r="E19" t="s">
        <v>273</v>
      </c>
      <c r="F19" s="2">
        <v>1617390000000</v>
      </c>
      <c r="G19" t="s">
        <v>274</v>
      </c>
      <c r="H19" s="3">
        <v>399729</v>
      </c>
      <c r="I19" s="3">
        <v>8076521</v>
      </c>
      <c r="J19" s="3">
        <v>309827</v>
      </c>
      <c r="K19" s="3">
        <v>7</v>
      </c>
      <c r="L19" s="3">
        <v>2</v>
      </c>
      <c r="M19" s="3">
        <v>12974</v>
      </c>
      <c r="N19" s="3">
        <v>3049</v>
      </c>
      <c r="O19" s="3">
        <v>0</v>
      </c>
      <c r="P19" s="3">
        <v>9122457</v>
      </c>
      <c r="Q19" s="3">
        <f t="shared" si="0"/>
        <v>17924566</v>
      </c>
    </row>
    <row r="20" spans="1:17" x14ac:dyDescent="0.2">
      <c r="A20" t="s">
        <v>303</v>
      </c>
      <c r="B20" t="s">
        <v>304</v>
      </c>
      <c r="C20" t="s">
        <v>305</v>
      </c>
      <c r="D20" s="2">
        <v>1376490000000</v>
      </c>
      <c r="E20" t="s">
        <v>306</v>
      </c>
      <c r="F20" s="2">
        <v>1619730000000</v>
      </c>
      <c r="G20" t="s">
        <v>307</v>
      </c>
      <c r="H20" s="3">
        <v>381582</v>
      </c>
      <c r="I20" s="3">
        <v>2516386</v>
      </c>
      <c r="J20" s="3">
        <v>754593</v>
      </c>
      <c r="K20" s="3">
        <v>22</v>
      </c>
      <c r="L20" s="3">
        <v>4554</v>
      </c>
      <c r="M20" s="3">
        <v>2411057</v>
      </c>
      <c r="N20" s="3">
        <v>157071</v>
      </c>
      <c r="O20" s="3">
        <v>0</v>
      </c>
      <c r="P20" s="3">
        <v>3472940</v>
      </c>
      <c r="Q20" s="3">
        <f t="shared" si="0"/>
        <v>9698205</v>
      </c>
    </row>
    <row r="21" spans="1:17" x14ac:dyDescent="0.2">
      <c r="A21" t="s">
        <v>634</v>
      </c>
      <c r="B21" t="s">
        <v>635</v>
      </c>
      <c r="C21" t="s">
        <v>636</v>
      </c>
      <c r="D21" s="2">
        <v>1559750000000</v>
      </c>
      <c r="E21" t="s">
        <v>637</v>
      </c>
      <c r="F21" s="2">
        <v>1619730000000</v>
      </c>
      <c r="G21" t="s">
        <v>94</v>
      </c>
      <c r="H21" s="3">
        <v>356231</v>
      </c>
      <c r="I21" s="3">
        <v>1379178</v>
      </c>
      <c r="J21" s="3">
        <v>22312</v>
      </c>
      <c r="K21" s="3">
        <v>0</v>
      </c>
      <c r="L21" s="3">
        <v>0</v>
      </c>
      <c r="M21" s="3">
        <v>0</v>
      </c>
      <c r="N21" s="3">
        <v>1259</v>
      </c>
      <c r="O21" s="3">
        <v>0</v>
      </c>
      <c r="P21" s="3">
        <v>3077950</v>
      </c>
      <c r="Q21" s="3">
        <f t="shared" si="0"/>
        <v>4836930</v>
      </c>
    </row>
    <row r="22" spans="1:17" x14ac:dyDescent="0.2">
      <c r="A22" t="s">
        <v>486</v>
      </c>
      <c r="B22" t="s">
        <v>487</v>
      </c>
      <c r="C22" t="s">
        <v>488</v>
      </c>
      <c r="D22" s="2">
        <v>1522180000000</v>
      </c>
      <c r="E22" t="s">
        <v>166</v>
      </c>
      <c r="F22" s="2">
        <v>1611720000000</v>
      </c>
      <c r="G22" t="s">
        <v>489</v>
      </c>
      <c r="H22" s="3">
        <v>356223</v>
      </c>
      <c r="I22" s="3">
        <v>1709963</v>
      </c>
      <c r="J22" s="3">
        <v>352095</v>
      </c>
      <c r="K22" s="3">
        <v>28</v>
      </c>
      <c r="L22" s="3">
        <v>1402</v>
      </c>
      <c r="M22" s="3">
        <v>423649</v>
      </c>
      <c r="N22" s="3">
        <v>56326</v>
      </c>
      <c r="O22" s="3">
        <v>0</v>
      </c>
      <c r="P22" s="3">
        <v>2418441</v>
      </c>
      <c r="Q22" s="3">
        <f t="shared" si="0"/>
        <v>5318127</v>
      </c>
    </row>
    <row r="23" spans="1:17" x14ac:dyDescent="0.2">
      <c r="A23" t="s">
        <v>90</v>
      </c>
      <c r="B23" t="s">
        <v>91</v>
      </c>
      <c r="C23" t="s">
        <v>92</v>
      </c>
      <c r="D23" s="2">
        <v>1520970000000</v>
      </c>
      <c r="E23" t="s">
        <v>93</v>
      </c>
      <c r="F23" s="2">
        <v>1619970000000</v>
      </c>
      <c r="G23" t="s">
        <v>94</v>
      </c>
      <c r="H23" s="3">
        <v>348432</v>
      </c>
      <c r="I23" s="3">
        <v>12084822</v>
      </c>
      <c r="J23" s="3">
        <v>396911</v>
      </c>
      <c r="K23" s="3">
        <v>0</v>
      </c>
      <c r="L23" s="3">
        <v>0</v>
      </c>
      <c r="M23" s="3">
        <v>0</v>
      </c>
      <c r="N23" s="3">
        <v>5658</v>
      </c>
      <c r="O23" s="3">
        <v>55</v>
      </c>
      <c r="P23" s="3">
        <v>12551077</v>
      </c>
      <c r="Q23" s="3">
        <f t="shared" si="0"/>
        <v>25386955</v>
      </c>
    </row>
    <row r="24" spans="1:17" x14ac:dyDescent="0.2">
      <c r="A24" t="s">
        <v>190</v>
      </c>
      <c r="B24" t="s">
        <v>191</v>
      </c>
      <c r="C24" t="s">
        <v>192</v>
      </c>
      <c r="D24" s="2">
        <v>1366200000000</v>
      </c>
      <c r="E24" t="s">
        <v>193</v>
      </c>
      <c r="F24" s="2">
        <v>1611720000000</v>
      </c>
      <c r="G24" t="s">
        <v>20</v>
      </c>
      <c r="H24" s="3">
        <v>338186</v>
      </c>
      <c r="I24" s="3">
        <v>4020934</v>
      </c>
      <c r="J24" s="3">
        <v>1023728</v>
      </c>
      <c r="K24" s="3">
        <v>0</v>
      </c>
      <c r="L24" s="3">
        <v>518</v>
      </c>
      <c r="M24" s="3">
        <v>4138028</v>
      </c>
      <c r="N24" s="3">
        <v>65002</v>
      </c>
      <c r="O24" s="3">
        <v>0</v>
      </c>
      <c r="P24" s="3">
        <v>4418060</v>
      </c>
      <c r="Q24" s="3">
        <f t="shared" si="0"/>
        <v>14004456</v>
      </c>
    </row>
    <row r="25" spans="1:17" x14ac:dyDescent="0.2">
      <c r="A25" t="s">
        <v>490</v>
      </c>
      <c r="B25" t="s">
        <v>491</v>
      </c>
      <c r="C25" t="s">
        <v>492</v>
      </c>
      <c r="D25" s="2">
        <v>1442940000000</v>
      </c>
      <c r="E25" t="s">
        <v>493</v>
      </c>
      <c r="F25" s="2">
        <v>1619710000000</v>
      </c>
      <c r="G25" t="s">
        <v>68</v>
      </c>
      <c r="H25" s="3">
        <v>331771</v>
      </c>
      <c r="I25" s="3">
        <v>675437</v>
      </c>
      <c r="J25" s="3">
        <v>428539</v>
      </c>
      <c r="K25" s="3">
        <v>0</v>
      </c>
      <c r="L25" s="3">
        <v>2485</v>
      </c>
      <c r="M25" s="3">
        <v>1259638</v>
      </c>
      <c r="N25" s="3">
        <v>58922</v>
      </c>
      <c r="O25" s="3">
        <v>0</v>
      </c>
      <c r="P25" s="3">
        <v>675532</v>
      </c>
      <c r="Q25" s="3">
        <f t="shared" si="0"/>
        <v>3432324</v>
      </c>
    </row>
    <row r="26" spans="1:17" x14ac:dyDescent="0.2">
      <c r="A26" t="s">
        <v>150</v>
      </c>
      <c r="B26" t="s">
        <v>151</v>
      </c>
      <c r="C26" t="s">
        <v>152</v>
      </c>
      <c r="D26" s="2">
        <v>1481740000000</v>
      </c>
      <c r="E26" t="s">
        <v>153</v>
      </c>
      <c r="F26" s="2">
        <v>1619540000000</v>
      </c>
      <c r="G26" t="s">
        <v>154</v>
      </c>
      <c r="H26" s="3">
        <v>324260</v>
      </c>
      <c r="I26" s="3">
        <v>2354837</v>
      </c>
      <c r="J26" s="3">
        <v>15267</v>
      </c>
      <c r="K26" s="3">
        <v>3</v>
      </c>
      <c r="L26" s="3">
        <v>2130</v>
      </c>
      <c r="M26" s="3">
        <v>36608</v>
      </c>
      <c r="N26" s="3">
        <v>9677</v>
      </c>
      <c r="O26" s="3">
        <v>0</v>
      </c>
      <c r="P26" s="3">
        <v>3895877</v>
      </c>
      <c r="Q26" s="3">
        <f t="shared" si="0"/>
        <v>6638659</v>
      </c>
    </row>
    <row r="27" spans="1:17" x14ac:dyDescent="0.2">
      <c r="A27" t="s">
        <v>159</v>
      </c>
      <c r="B27" t="s">
        <v>160</v>
      </c>
      <c r="C27" t="s">
        <v>161</v>
      </c>
      <c r="D27" s="2">
        <v>1498510000000</v>
      </c>
      <c r="E27" t="s">
        <v>162</v>
      </c>
      <c r="F27" s="2">
        <v>1619810000000</v>
      </c>
      <c r="G27" t="s">
        <v>59</v>
      </c>
      <c r="H27" s="3">
        <v>304890</v>
      </c>
      <c r="I27" s="3">
        <v>4047290</v>
      </c>
      <c r="J27" s="3">
        <v>453683</v>
      </c>
      <c r="K27" s="3">
        <v>0</v>
      </c>
      <c r="L27" s="3">
        <v>0</v>
      </c>
      <c r="M27" s="3">
        <v>0</v>
      </c>
      <c r="N27" s="3">
        <v>10679</v>
      </c>
      <c r="O27" s="3">
        <v>14</v>
      </c>
      <c r="P27" s="3">
        <v>4366178</v>
      </c>
      <c r="Q27" s="3">
        <f t="shared" si="0"/>
        <v>9182734</v>
      </c>
    </row>
    <row r="28" spans="1:17" x14ac:dyDescent="0.2">
      <c r="A28" t="s">
        <v>73</v>
      </c>
      <c r="B28" t="s">
        <v>74</v>
      </c>
      <c r="C28" t="s">
        <v>75</v>
      </c>
      <c r="D28" s="2">
        <v>1435240000000</v>
      </c>
      <c r="E28" t="s">
        <v>58</v>
      </c>
      <c r="F28" s="2">
        <v>1611720000000</v>
      </c>
      <c r="G28" t="s">
        <v>76</v>
      </c>
      <c r="H28" s="3">
        <v>302996</v>
      </c>
      <c r="I28" s="3">
        <v>806955</v>
      </c>
      <c r="J28" s="3">
        <v>71923</v>
      </c>
      <c r="K28" s="3">
        <v>1</v>
      </c>
      <c r="L28" s="3">
        <v>11</v>
      </c>
      <c r="M28" s="3">
        <v>12971</v>
      </c>
      <c r="N28" s="3">
        <v>8153</v>
      </c>
      <c r="O28" s="3">
        <v>12</v>
      </c>
      <c r="P28" s="3">
        <v>1042084</v>
      </c>
      <c r="Q28" s="3">
        <f t="shared" si="0"/>
        <v>2245106</v>
      </c>
    </row>
    <row r="29" spans="1:17" x14ac:dyDescent="0.2">
      <c r="A29" t="s">
        <v>679</v>
      </c>
      <c r="B29" t="s">
        <v>680</v>
      </c>
      <c r="C29" t="s">
        <v>681</v>
      </c>
      <c r="D29" s="2">
        <v>1536760000000</v>
      </c>
      <c r="E29" t="s">
        <v>682</v>
      </c>
      <c r="F29" s="2">
        <v>1618510000000</v>
      </c>
      <c r="G29" t="s">
        <v>683</v>
      </c>
      <c r="H29" s="3">
        <v>298578</v>
      </c>
      <c r="I29" s="3">
        <v>4498886</v>
      </c>
      <c r="J29" s="3">
        <v>88998</v>
      </c>
      <c r="K29" s="3">
        <v>0</v>
      </c>
      <c r="L29" s="3">
        <v>0</v>
      </c>
      <c r="M29" s="3">
        <v>0</v>
      </c>
      <c r="N29" s="3">
        <v>683</v>
      </c>
      <c r="O29" s="3">
        <v>0</v>
      </c>
      <c r="P29" s="3">
        <v>5272132</v>
      </c>
      <c r="Q29" s="3">
        <f t="shared" si="0"/>
        <v>10159277</v>
      </c>
    </row>
    <row r="30" spans="1:17" x14ac:dyDescent="0.2">
      <c r="A30" t="s">
        <v>69</v>
      </c>
      <c r="B30" t="s">
        <v>70</v>
      </c>
      <c r="C30" t="s">
        <v>71</v>
      </c>
      <c r="D30" s="2">
        <v>1430260000000</v>
      </c>
      <c r="E30" t="s">
        <v>72</v>
      </c>
      <c r="F30" s="2">
        <v>1617950000000</v>
      </c>
      <c r="G30" t="s">
        <v>59</v>
      </c>
      <c r="H30" s="3">
        <v>271504</v>
      </c>
      <c r="I30" s="3">
        <v>3936841</v>
      </c>
      <c r="J30" s="3">
        <v>250056</v>
      </c>
      <c r="K30" s="3">
        <v>0</v>
      </c>
      <c r="L30" s="3">
        <v>0</v>
      </c>
      <c r="M30" s="3">
        <v>0</v>
      </c>
      <c r="N30" s="3">
        <v>966</v>
      </c>
      <c r="O30" s="3">
        <v>5</v>
      </c>
      <c r="P30" s="3">
        <v>4170145</v>
      </c>
      <c r="Q30" s="3">
        <f t="shared" si="0"/>
        <v>8629517</v>
      </c>
    </row>
    <row r="31" spans="1:17" x14ac:dyDescent="0.2">
      <c r="A31" t="s">
        <v>524</v>
      </c>
      <c r="B31" t="s">
        <v>525</v>
      </c>
      <c r="C31" t="s">
        <v>526</v>
      </c>
      <c r="D31" s="2">
        <v>1498680000000</v>
      </c>
      <c r="E31" t="s">
        <v>58</v>
      </c>
      <c r="F31" s="2">
        <v>1611720000000</v>
      </c>
      <c r="G31" t="s">
        <v>519</v>
      </c>
      <c r="H31" s="3">
        <v>259883</v>
      </c>
      <c r="I31" s="3">
        <v>627699</v>
      </c>
      <c r="J31" s="3">
        <v>4646</v>
      </c>
      <c r="K31" s="3">
        <v>0</v>
      </c>
      <c r="L31" s="3">
        <v>11</v>
      </c>
      <c r="M31" s="3">
        <v>12331</v>
      </c>
      <c r="N31" s="3">
        <v>1670</v>
      </c>
      <c r="O31" s="3">
        <v>0</v>
      </c>
      <c r="P31" s="3">
        <v>1548494</v>
      </c>
      <c r="Q31" s="3">
        <f t="shared" si="0"/>
        <v>2454734</v>
      </c>
    </row>
    <row r="32" spans="1:17" x14ac:dyDescent="0.2">
      <c r="A32" t="s">
        <v>794</v>
      </c>
      <c r="B32" t="s">
        <v>795</v>
      </c>
      <c r="C32" t="s">
        <v>796</v>
      </c>
      <c r="D32" s="2">
        <v>1550810000000</v>
      </c>
      <c r="E32" t="s">
        <v>797</v>
      </c>
      <c r="F32" s="2">
        <v>1611720000000</v>
      </c>
      <c r="G32" t="s">
        <v>798</v>
      </c>
      <c r="H32" s="3">
        <v>250168</v>
      </c>
      <c r="I32" s="3">
        <v>587434</v>
      </c>
      <c r="J32" s="3">
        <v>658034</v>
      </c>
      <c r="K32" s="3">
        <v>0</v>
      </c>
      <c r="L32" s="3">
        <v>8031</v>
      </c>
      <c r="M32" s="3">
        <v>1292936</v>
      </c>
      <c r="N32" s="3">
        <v>60861</v>
      </c>
      <c r="O32" s="3">
        <v>0</v>
      </c>
      <c r="P32" s="3">
        <v>592094</v>
      </c>
      <c r="Q32" s="3">
        <f t="shared" si="0"/>
        <v>3449558</v>
      </c>
    </row>
    <row r="33" spans="1:17" x14ac:dyDescent="0.2">
      <c r="A33" t="s">
        <v>186</v>
      </c>
      <c r="B33" t="s">
        <v>187</v>
      </c>
      <c r="C33" t="s">
        <v>188</v>
      </c>
      <c r="D33" s="2">
        <v>1434410000000</v>
      </c>
      <c r="E33" t="s">
        <v>189</v>
      </c>
      <c r="F33" s="2">
        <v>1618500000000</v>
      </c>
      <c r="G33" t="s">
        <v>59</v>
      </c>
      <c r="H33" s="3">
        <v>242681</v>
      </c>
      <c r="I33" s="3">
        <v>401377</v>
      </c>
      <c r="J33" s="3">
        <v>241941</v>
      </c>
      <c r="K33" s="3">
        <v>0</v>
      </c>
      <c r="L33" s="3">
        <v>310</v>
      </c>
      <c r="M33" s="3">
        <v>394348</v>
      </c>
      <c r="N33" s="3">
        <v>13166</v>
      </c>
      <c r="O33" s="3">
        <v>174</v>
      </c>
      <c r="P33" s="3">
        <v>681180</v>
      </c>
      <c r="Q33" s="3">
        <f t="shared" si="0"/>
        <v>1975177</v>
      </c>
    </row>
    <row r="34" spans="1:17" x14ac:dyDescent="0.2">
      <c r="A34" t="s">
        <v>275</v>
      </c>
      <c r="B34" t="s">
        <v>276</v>
      </c>
      <c r="C34" t="s">
        <v>277</v>
      </c>
      <c r="D34" s="2">
        <v>1490020000000</v>
      </c>
      <c r="E34" t="s">
        <v>278</v>
      </c>
      <c r="F34" s="2">
        <v>1619100000000</v>
      </c>
      <c r="G34" t="s">
        <v>279</v>
      </c>
      <c r="H34" s="3">
        <v>236449</v>
      </c>
      <c r="I34" s="3">
        <v>4550009</v>
      </c>
      <c r="J34" s="3">
        <v>356633</v>
      </c>
      <c r="K34" s="3">
        <v>1</v>
      </c>
      <c r="L34" s="3">
        <v>0</v>
      </c>
      <c r="M34" s="3">
        <v>0</v>
      </c>
      <c r="N34" s="3">
        <v>2257</v>
      </c>
      <c r="O34" s="3">
        <v>0</v>
      </c>
      <c r="P34" s="3">
        <v>4748739</v>
      </c>
      <c r="Q34" s="3">
        <f t="shared" si="0"/>
        <v>9894088</v>
      </c>
    </row>
    <row r="35" spans="1:17" x14ac:dyDescent="0.2">
      <c r="A35" t="s">
        <v>181</v>
      </c>
      <c r="B35" t="s">
        <v>182</v>
      </c>
      <c r="C35" t="s">
        <v>183</v>
      </c>
      <c r="D35" s="2">
        <v>1370370000000</v>
      </c>
      <c r="E35" t="s">
        <v>184</v>
      </c>
      <c r="F35" s="2">
        <v>1608040000000</v>
      </c>
      <c r="G35" t="s">
        <v>185</v>
      </c>
      <c r="H35" s="3">
        <v>230967</v>
      </c>
      <c r="I35" s="3">
        <v>856433</v>
      </c>
      <c r="J35" s="3">
        <v>244624</v>
      </c>
      <c r="K35" s="3">
        <v>5</v>
      </c>
      <c r="L35" s="3">
        <v>6</v>
      </c>
      <c r="M35" s="3">
        <v>382075</v>
      </c>
      <c r="N35" s="3">
        <v>94178</v>
      </c>
      <c r="O35" s="3">
        <v>0</v>
      </c>
      <c r="P35" s="3">
        <v>1363003</v>
      </c>
      <c r="Q35" s="3">
        <f t="shared" si="0"/>
        <v>3171291</v>
      </c>
    </row>
    <row r="36" spans="1:17" x14ac:dyDescent="0.2">
      <c r="A36" t="s">
        <v>123</v>
      </c>
      <c r="B36" t="s">
        <v>124</v>
      </c>
      <c r="C36" t="s">
        <v>125</v>
      </c>
      <c r="D36" s="2">
        <v>1391470000000</v>
      </c>
      <c r="E36" t="s">
        <v>126</v>
      </c>
      <c r="F36" s="2">
        <v>1613750000000</v>
      </c>
      <c r="G36" t="s">
        <v>25</v>
      </c>
      <c r="H36" s="3">
        <v>224180</v>
      </c>
      <c r="I36" s="3">
        <v>416123</v>
      </c>
      <c r="J36" s="3">
        <v>58480</v>
      </c>
      <c r="K36" s="3">
        <v>0</v>
      </c>
      <c r="L36" s="3">
        <v>13</v>
      </c>
      <c r="M36" s="3">
        <v>182076</v>
      </c>
      <c r="N36" s="3">
        <v>11957</v>
      </c>
      <c r="O36" s="3">
        <v>47</v>
      </c>
      <c r="P36" s="3">
        <v>456548</v>
      </c>
      <c r="Q36" s="3">
        <f t="shared" si="0"/>
        <v>1349424</v>
      </c>
    </row>
    <row r="37" spans="1:17" x14ac:dyDescent="0.2">
      <c r="A37" t="s">
        <v>77</v>
      </c>
      <c r="B37" t="s">
        <v>78</v>
      </c>
      <c r="C37" t="s">
        <v>79</v>
      </c>
      <c r="D37" s="2">
        <v>1370390000000</v>
      </c>
      <c r="E37" t="s">
        <v>80</v>
      </c>
      <c r="F37" s="2">
        <v>1611720000000</v>
      </c>
      <c r="G37" t="s">
        <v>81</v>
      </c>
      <c r="H37" s="3">
        <v>221063</v>
      </c>
      <c r="I37" s="3">
        <v>635287</v>
      </c>
      <c r="J37" s="3">
        <v>386652</v>
      </c>
      <c r="K37" s="3">
        <v>2</v>
      </c>
      <c r="L37" s="3">
        <v>7</v>
      </c>
      <c r="M37" s="3">
        <v>854061</v>
      </c>
      <c r="N37" s="3">
        <v>26654</v>
      </c>
      <c r="O37" s="3">
        <v>0</v>
      </c>
      <c r="P37" s="3">
        <v>976962</v>
      </c>
      <c r="Q37" s="3">
        <f t="shared" si="0"/>
        <v>3100688</v>
      </c>
    </row>
    <row r="38" spans="1:17" x14ac:dyDescent="0.2">
      <c r="A38" t="s">
        <v>482</v>
      </c>
      <c r="B38" t="s">
        <v>483</v>
      </c>
      <c r="C38" t="s">
        <v>484</v>
      </c>
      <c r="D38" s="2">
        <v>1474950000000</v>
      </c>
      <c r="E38" t="s">
        <v>485</v>
      </c>
      <c r="F38" s="2">
        <v>1615570000000</v>
      </c>
      <c r="G38" t="s">
        <v>35</v>
      </c>
      <c r="H38" s="3">
        <v>212988</v>
      </c>
      <c r="I38" s="3">
        <v>1183027</v>
      </c>
      <c r="J38" s="3">
        <v>207576</v>
      </c>
      <c r="K38" s="3">
        <v>0</v>
      </c>
      <c r="L38" s="3">
        <v>0</v>
      </c>
      <c r="M38" s="3">
        <v>0</v>
      </c>
      <c r="N38" s="3">
        <v>6208</v>
      </c>
      <c r="O38" s="3">
        <v>0</v>
      </c>
      <c r="P38" s="3">
        <v>1574942</v>
      </c>
      <c r="Q38" s="3">
        <f t="shared" si="0"/>
        <v>3184741</v>
      </c>
    </row>
    <row r="39" spans="1:17" x14ac:dyDescent="0.2">
      <c r="A39" t="s">
        <v>107</v>
      </c>
      <c r="B39" t="s">
        <v>108</v>
      </c>
      <c r="C39" t="s">
        <v>109</v>
      </c>
      <c r="D39" s="2">
        <v>1498770000000</v>
      </c>
      <c r="E39" t="s">
        <v>110</v>
      </c>
      <c r="F39" s="2">
        <v>1619620000000</v>
      </c>
      <c r="G39" t="s">
        <v>35</v>
      </c>
      <c r="H39" s="3">
        <v>211598</v>
      </c>
      <c r="I39" s="3">
        <v>1302283</v>
      </c>
      <c r="J39" s="3">
        <v>105520</v>
      </c>
      <c r="K39" s="3">
        <v>0</v>
      </c>
      <c r="L39" s="3">
        <v>0</v>
      </c>
      <c r="M39" s="3">
        <v>0</v>
      </c>
      <c r="N39" s="3">
        <v>1030</v>
      </c>
      <c r="O39" s="3">
        <v>15</v>
      </c>
      <c r="P39" s="3">
        <v>1518902</v>
      </c>
      <c r="Q39" s="3">
        <f t="shared" si="0"/>
        <v>3139348</v>
      </c>
    </row>
    <row r="40" spans="1:17" x14ac:dyDescent="0.2">
      <c r="A40" t="s">
        <v>41</v>
      </c>
      <c r="B40" t="s">
        <v>42</v>
      </c>
      <c r="C40" t="s">
        <v>43</v>
      </c>
      <c r="D40" s="2">
        <v>1501590000000</v>
      </c>
      <c r="E40" t="s">
        <v>44</v>
      </c>
      <c r="F40" s="2">
        <v>1619190000000</v>
      </c>
      <c r="G40" t="s">
        <v>35</v>
      </c>
      <c r="H40" s="3">
        <v>209518</v>
      </c>
      <c r="I40" s="3">
        <v>646488</v>
      </c>
      <c r="J40" s="3">
        <v>83144</v>
      </c>
      <c r="K40" s="3">
        <v>1</v>
      </c>
      <c r="L40" s="3">
        <v>0</v>
      </c>
      <c r="M40" s="3">
        <v>0</v>
      </c>
      <c r="N40" s="3">
        <v>2112</v>
      </c>
      <c r="O40" s="3">
        <v>18</v>
      </c>
      <c r="P40" s="3">
        <v>1221918</v>
      </c>
      <c r="Q40" s="3">
        <f t="shared" si="0"/>
        <v>2163199</v>
      </c>
    </row>
    <row r="41" spans="1:17" x14ac:dyDescent="0.2">
      <c r="A41" t="s">
        <v>321</v>
      </c>
      <c r="B41" t="s">
        <v>322</v>
      </c>
      <c r="C41" t="s">
        <v>323</v>
      </c>
      <c r="D41" s="2">
        <v>1492570000000</v>
      </c>
      <c r="E41" t="s">
        <v>324</v>
      </c>
      <c r="F41" s="2">
        <v>1619030000000</v>
      </c>
      <c r="G41" t="s">
        <v>35</v>
      </c>
      <c r="H41" s="3">
        <v>201336</v>
      </c>
      <c r="I41" s="3">
        <v>2711533</v>
      </c>
      <c r="J41" s="3">
        <v>109760</v>
      </c>
      <c r="K41" s="3">
        <v>3</v>
      </c>
      <c r="L41" s="3">
        <v>0</v>
      </c>
      <c r="M41" s="3">
        <v>0</v>
      </c>
      <c r="N41" s="3">
        <v>1726</v>
      </c>
      <c r="O41" s="3">
        <v>0</v>
      </c>
      <c r="P41" s="3">
        <v>2987819</v>
      </c>
      <c r="Q41" s="3">
        <f t="shared" si="0"/>
        <v>6012177</v>
      </c>
    </row>
    <row r="42" spans="1:17" x14ac:dyDescent="0.2">
      <c r="A42" t="s">
        <v>417</v>
      </c>
      <c r="B42" t="s">
        <v>418</v>
      </c>
      <c r="C42" t="s">
        <v>419</v>
      </c>
      <c r="D42" s="2">
        <v>1490900000000</v>
      </c>
      <c r="E42" t="s">
        <v>420</v>
      </c>
      <c r="F42" s="2">
        <v>1619730000000</v>
      </c>
      <c r="G42" t="s">
        <v>20</v>
      </c>
      <c r="H42" s="3">
        <v>195012</v>
      </c>
      <c r="I42" s="3">
        <v>3511098</v>
      </c>
      <c r="J42" s="3">
        <v>149740</v>
      </c>
      <c r="K42" s="3">
        <v>0</v>
      </c>
      <c r="L42" s="3">
        <v>171</v>
      </c>
      <c r="M42" s="3">
        <v>142140</v>
      </c>
      <c r="N42" s="3">
        <v>8801</v>
      </c>
      <c r="O42" s="3">
        <v>0</v>
      </c>
      <c r="P42" s="3">
        <v>3810159</v>
      </c>
      <c r="Q42" s="3">
        <f t="shared" si="0"/>
        <v>7817121</v>
      </c>
    </row>
    <row r="43" spans="1:17" x14ac:dyDescent="0.2">
      <c r="A43" t="s">
        <v>532</v>
      </c>
      <c r="B43" t="s">
        <v>533</v>
      </c>
      <c r="C43" t="s">
        <v>534</v>
      </c>
      <c r="D43" s="2">
        <v>1518740000000</v>
      </c>
      <c r="E43" t="s">
        <v>535</v>
      </c>
      <c r="F43" s="2">
        <v>1608040000000</v>
      </c>
      <c r="G43" t="s">
        <v>536</v>
      </c>
      <c r="H43" s="3">
        <v>192960</v>
      </c>
      <c r="I43" s="3">
        <v>614523</v>
      </c>
      <c r="J43" s="3">
        <v>319272</v>
      </c>
      <c r="K43" s="3">
        <v>0</v>
      </c>
      <c r="L43" s="3">
        <v>277</v>
      </c>
      <c r="M43" s="3">
        <v>2278421</v>
      </c>
      <c r="N43" s="3">
        <v>26384</v>
      </c>
      <c r="O43" s="3">
        <v>0</v>
      </c>
      <c r="P43" s="3">
        <v>618869</v>
      </c>
      <c r="Q43" s="3">
        <f t="shared" si="0"/>
        <v>4050706</v>
      </c>
    </row>
    <row r="44" spans="1:17" x14ac:dyDescent="0.2">
      <c r="A44" t="s">
        <v>511</v>
      </c>
      <c r="B44" t="s">
        <v>512</v>
      </c>
      <c r="C44" t="s">
        <v>513</v>
      </c>
      <c r="D44" s="2">
        <v>1466550000000</v>
      </c>
      <c r="E44" t="s">
        <v>514</v>
      </c>
      <c r="F44" s="2">
        <v>1616020000000</v>
      </c>
      <c r="G44" t="s">
        <v>274</v>
      </c>
      <c r="H44" s="3">
        <v>191676</v>
      </c>
      <c r="I44" s="3">
        <v>1233384</v>
      </c>
      <c r="J44" s="3">
        <v>23936</v>
      </c>
      <c r="K44" s="3">
        <v>4</v>
      </c>
      <c r="L44" s="3">
        <v>0</v>
      </c>
      <c r="M44" s="3">
        <v>173</v>
      </c>
      <c r="N44" s="3">
        <v>2067</v>
      </c>
      <c r="O44" s="3">
        <v>0</v>
      </c>
      <c r="P44" s="3">
        <v>1531423</v>
      </c>
      <c r="Q44" s="3">
        <f t="shared" si="0"/>
        <v>2982663</v>
      </c>
    </row>
    <row r="45" spans="1:17" x14ac:dyDescent="0.2">
      <c r="A45" t="s">
        <v>55</v>
      </c>
      <c r="B45" t="s">
        <v>56</v>
      </c>
      <c r="C45" t="s">
        <v>57</v>
      </c>
      <c r="D45" s="2">
        <v>1448390000000</v>
      </c>
      <c r="E45" t="s">
        <v>58</v>
      </c>
      <c r="F45" s="2">
        <v>1611720000000</v>
      </c>
      <c r="G45" t="s">
        <v>59</v>
      </c>
      <c r="H45" s="3">
        <v>190084</v>
      </c>
      <c r="I45" s="3">
        <v>1653723</v>
      </c>
      <c r="J45" s="3">
        <v>179310</v>
      </c>
      <c r="K45" s="3">
        <v>0</v>
      </c>
      <c r="L45" s="3">
        <v>0</v>
      </c>
      <c r="M45" s="3">
        <v>0</v>
      </c>
      <c r="N45" s="3">
        <v>888</v>
      </c>
      <c r="O45" s="3">
        <v>9</v>
      </c>
      <c r="P45" s="3">
        <v>1942985</v>
      </c>
      <c r="Q45" s="3">
        <f t="shared" si="0"/>
        <v>3966999</v>
      </c>
    </row>
    <row r="46" spans="1:17" x14ac:dyDescent="0.2">
      <c r="A46" t="s">
        <v>600</v>
      </c>
      <c r="B46" t="s">
        <v>601</v>
      </c>
      <c r="C46" t="s">
        <v>602</v>
      </c>
      <c r="D46" s="2">
        <v>1538500000000</v>
      </c>
      <c r="E46" t="s">
        <v>603</v>
      </c>
      <c r="F46" s="2">
        <v>1617370000000</v>
      </c>
      <c r="G46" t="s">
        <v>257</v>
      </c>
      <c r="H46" s="3">
        <v>183757</v>
      </c>
      <c r="I46" s="3">
        <v>3130716</v>
      </c>
      <c r="J46" s="3">
        <v>15930</v>
      </c>
      <c r="K46" s="3">
        <v>0</v>
      </c>
      <c r="L46" s="3">
        <v>0</v>
      </c>
      <c r="M46" s="3">
        <v>0</v>
      </c>
      <c r="N46" s="3">
        <v>386</v>
      </c>
      <c r="O46" s="3">
        <v>0</v>
      </c>
      <c r="P46" s="3">
        <v>3281535</v>
      </c>
      <c r="Q46" s="3">
        <f t="shared" si="0"/>
        <v>6612324</v>
      </c>
    </row>
    <row r="47" spans="1:17" x14ac:dyDescent="0.2">
      <c r="A47" t="s">
        <v>374</v>
      </c>
      <c r="B47" t="s">
        <v>375</v>
      </c>
      <c r="C47" t="s">
        <v>376</v>
      </c>
      <c r="D47" s="2">
        <v>1502170000000</v>
      </c>
      <c r="E47" t="s">
        <v>377</v>
      </c>
      <c r="F47" s="2">
        <v>1612820000000</v>
      </c>
      <c r="G47" t="s">
        <v>378</v>
      </c>
      <c r="H47" s="3">
        <v>165739</v>
      </c>
      <c r="I47" s="3">
        <v>5086936</v>
      </c>
      <c r="J47" s="3">
        <v>1328658</v>
      </c>
      <c r="K47" s="3">
        <v>0</v>
      </c>
      <c r="L47" s="3">
        <v>20472</v>
      </c>
      <c r="M47" s="3">
        <v>2421748</v>
      </c>
      <c r="N47" s="3">
        <v>1056</v>
      </c>
      <c r="O47" s="3">
        <v>0</v>
      </c>
      <c r="P47" s="3">
        <v>5413919</v>
      </c>
      <c r="Q47" s="3">
        <f t="shared" si="0"/>
        <v>14438528</v>
      </c>
    </row>
    <row r="48" spans="1:17" x14ac:dyDescent="0.2">
      <c r="A48" t="s">
        <v>31</v>
      </c>
      <c r="B48" t="s">
        <v>32</v>
      </c>
      <c r="C48" t="s">
        <v>33</v>
      </c>
      <c r="D48" s="2">
        <v>1458570000000</v>
      </c>
      <c r="E48" t="s">
        <v>34</v>
      </c>
      <c r="F48" s="2">
        <v>1616180000000</v>
      </c>
      <c r="G48" t="s">
        <v>35</v>
      </c>
      <c r="H48" s="3">
        <v>163937</v>
      </c>
      <c r="I48" s="3">
        <v>518352</v>
      </c>
      <c r="J48" s="3">
        <v>17933</v>
      </c>
      <c r="K48" s="3">
        <v>0</v>
      </c>
      <c r="L48" s="3">
        <v>0</v>
      </c>
      <c r="M48" s="3">
        <v>0</v>
      </c>
      <c r="N48" s="3">
        <v>584</v>
      </c>
      <c r="O48" s="3">
        <v>2</v>
      </c>
      <c r="P48" s="3">
        <v>602910</v>
      </c>
      <c r="Q48" s="3">
        <f t="shared" si="0"/>
        <v>1303718</v>
      </c>
    </row>
    <row r="49" spans="1:17" x14ac:dyDescent="0.2">
      <c r="A49" t="s">
        <v>85</v>
      </c>
      <c r="B49" t="s">
        <v>86</v>
      </c>
      <c r="C49" t="s">
        <v>87</v>
      </c>
      <c r="D49" s="2">
        <v>1436380000000</v>
      </c>
      <c r="E49" t="s">
        <v>88</v>
      </c>
      <c r="F49" s="2">
        <v>1611720000000</v>
      </c>
      <c r="G49" t="s">
        <v>89</v>
      </c>
      <c r="H49" s="3">
        <v>155712</v>
      </c>
      <c r="I49" s="3">
        <v>431199</v>
      </c>
      <c r="J49" s="3">
        <v>373435</v>
      </c>
      <c r="K49" s="3">
        <v>0</v>
      </c>
      <c r="L49" s="3">
        <v>651</v>
      </c>
      <c r="M49" s="3">
        <v>1100513</v>
      </c>
      <c r="N49" s="3">
        <v>33633</v>
      </c>
      <c r="O49" s="3">
        <v>789</v>
      </c>
      <c r="P49" s="3">
        <v>444265</v>
      </c>
      <c r="Q49" s="3">
        <f t="shared" si="0"/>
        <v>2540197</v>
      </c>
    </row>
    <row r="50" spans="1:17" x14ac:dyDescent="0.2">
      <c r="A50" t="s">
        <v>253</v>
      </c>
      <c r="B50" t="s">
        <v>254</v>
      </c>
      <c r="C50" t="s">
        <v>255</v>
      </c>
      <c r="D50" s="2">
        <v>1528990000000</v>
      </c>
      <c r="E50" t="s">
        <v>256</v>
      </c>
      <c r="F50" s="2">
        <v>1618550000000</v>
      </c>
      <c r="G50" t="s">
        <v>257</v>
      </c>
      <c r="H50" s="3">
        <v>150801</v>
      </c>
      <c r="I50" s="3">
        <v>414248</v>
      </c>
      <c r="J50" s="3">
        <v>12861</v>
      </c>
      <c r="K50" s="3">
        <v>0</v>
      </c>
      <c r="L50" s="3">
        <v>0</v>
      </c>
      <c r="M50" s="3">
        <v>35</v>
      </c>
      <c r="N50" s="3">
        <v>1577</v>
      </c>
      <c r="O50" s="3">
        <v>0</v>
      </c>
      <c r="P50" s="3">
        <v>611101</v>
      </c>
      <c r="Q50" s="3">
        <f t="shared" si="0"/>
        <v>1190623</v>
      </c>
    </row>
    <row r="51" spans="1:17" x14ac:dyDescent="0.2">
      <c r="A51" t="s">
        <v>82</v>
      </c>
      <c r="B51" t="s">
        <v>83</v>
      </c>
      <c r="C51" t="s">
        <v>84</v>
      </c>
      <c r="D51" s="2">
        <v>1392400000000</v>
      </c>
      <c r="E51" t="s">
        <v>80</v>
      </c>
      <c r="F51" s="2">
        <v>1611720000000</v>
      </c>
      <c r="G51" t="s">
        <v>25</v>
      </c>
      <c r="H51" s="3">
        <v>150743</v>
      </c>
      <c r="I51" s="3">
        <v>872306</v>
      </c>
      <c r="J51" s="3">
        <v>187500</v>
      </c>
      <c r="K51" s="3">
        <v>0</v>
      </c>
      <c r="L51" s="3">
        <v>55</v>
      </c>
      <c r="M51" s="3">
        <v>569092</v>
      </c>
      <c r="N51" s="3">
        <v>17842</v>
      </c>
      <c r="O51" s="3">
        <v>8</v>
      </c>
      <c r="P51" s="3">
        <v>898288</v>
      </c>
      <c r="Q51" s="3">
        <f t="shared" si="0"/>
        <v>2695834</v>
      </c>
    </row>
    <row r="52" spans="1:17" x14ac:dyDescent="0.2">
      <c r="A52" t="s">
        <v>421</v>
      </c>
      <c r="B52" t="s">
        <v>422</v>
      </c>
      <c r="C52" t="s">
        <v>423</v>
      </c>
      <c r="D52" s="2">
        <v>1500460000000</v>
      </c>
      <c r="E52" t="s">
        <v>424</v>
      </c>
      <c r="F52" s="2">
        <v>1619620000000</v>
      </c>
      <c r="G52" t="s">
        <v>425</v>
      </c>
      <c r="H52" s="3">
        <v>146646</v>
      </c>
      <c r="I52" s="3">
        <v>825013</v>
      </c>
      <c r="J52" s="3">
        <v>22382</v>
      </c>
      <c r="K52" s="3">
        <v>85860</v>
      </c>
      <c r="L52" s="3">
        <v>88</v>
      </c>
      <c r="M52" s="3">
        <v>31859</v>
      </c>
      <c r="N52" s="3">
        <v>44176</v>
      </c>
      <c r="O52" s="3">
        <v>0</v>
      </c>
      <c r="P52" s="3">
        <v>1080420</v>
      </c>
      <c r="Q52" s="3">
        <f t="shared" si="0"/>
        <v>2236444</v>
      </c>
    </row>
    <row r="53" spans="1:17" x14ac:dyDescent="0.2">
      <c r="A53" t="s">
        <v>770</v>
      </c>
      <c r="B53" t="s">
        <v>771</v>
      </c>
      <c r="C53" t="s">
        <v>772</v>
      </c>
      <c r="D53" s="2">
        <v>1570030000000</v>
      </c>
      <c r="E53" t="s">
        <v>773</v>
      </c>
      <c r="F53" s="2">
        <v>1619040000000</v>
      </c>
      <c r="G53" t="s">
        <v>94</v>
      </c>
      <c r="H53" s="3">
        <v>142880</v>
      </c>
      <c r="I53" s="3">
        <v>444972</v>
      </c>
      <c r="J53" s="3">
        <v>10643</v>
      </c>
      <c r="K53" s="3">
        <v>0</v>
      </c>
      <c r="L53" s="3">
        <v>0</v>
      </c>
      <c r="M53" s="3">
        <v>0</v>
      </c>
      <c r="N53" s="3">
        <v>110</v>
      </c>
      <c r="O53" s="3">
        <v>358</v>
      </c>
      <c r="P53" s="3">
        <v>631069</v>
      </c>
      <c r="Q53" s="3">
        <f t="shared" si="0"/>
        <v>1230032</v>
      </c>
    </row>
    <row r="54" spans="1:17" x14ac:dyDescent="0.2">
      <c r="A54" t="s">
        <v>470</v>
      </c>
      <c r="B54" t="s">
        <v>471</v>
      </c>
      <c r="C54" t="s">
        <v>472</v>
      </c>
      <c r="D54" s="2">
        <v>1366660000000</v>
      </c>
      <c r="E54" t="s">
        <v>473</v>
      </c>
      <c r="F54" s="2">
        <v>1616020000000</v>
      </c>
      <c r="G54" t="s">
        <v>68</v>
      </c>
      <c r="H54" s="3">
        <v>137258</v>
      </c>
      <c r="I54" s="3">
        <v>485074</v>
      </c>
      <c r="J54" s="3">
        <v>391535</v>
      </c>
      <c r="K54" s="3">
        <v>0</v>
      </c>
      <c r="L54" s="3">
        <v>177</v>
      </c>
      <c r="M54" s="3">
        <v>1207796</v>
      </c>
      <c r="N54" s="3">
        <v>42826</v>
      </c>
      <c r="O54" s="3">
        <v>0</v>
      </c>
      <c r="P54" s="3">
        <v>491672</v>
      </c>
      <c r="Q54" s="3">
        <f t="shared" si="0"/>
        <v>2756338</v>
      </c>
    </row>
    <row r="55" spans="1:17" x14ac:dyDescent="0.2">
      <c r="A55" t="s">
        <v>520</v>
      </c>
      <c r="B55" t="s">
        <v>521</v>
      </c>
      <c r="C55" t="s">
        <v>522</v>
      </c>
      <c r="D55" s="2">
        <v>1495120000000</v>
      </c>
      <c r="E55" t="s">
        <v>523</v>
      </c>
      <c r="F55" s="2">
        <v>1611720000000</v>
      </c>
      <c r="G55" t="s">
        <v>20</v>
      </c>
      <c r="H55" s="3">
        <v>124691</v>
      </c>
      <c r="I55" s="3">
        <v>974341</v>
      </c>
      <c r="J55" s="3">
        <v>29137</v>
      </c>
      <c r="K55" s="3">
        <v>0</v>
      </c>
      <c r="L55" s="3">
        <v>42</v>
      </c>
      <c r="M55" s="3">
        <v>54348</v>
      </c>
      <c r="N55" s="3">
        <v>2149</v>
      </c>
      <c r="O55" s="3">
        <v>0</v>
      </c>
      <c r="P55" s="3">
        <v>1102201</v>
      </c>
      <c r="Q55" s="3">
        <f t="shared" si="0"/>
        <v>2286909</v>
      </c>
    </row>
    <row r="56" spans="1:17" x14ac:dyDescent="0.2">
      <c r="A56" t="s">
        <v>262</v>
      </c>
      <c r="B56" t="s">
        <v>263</v>
      </c>
      <c r="C56" t="s">
        <v>264</v>
      </c>
      <c r="D56" s="2">
        <v>1370450000000</v>
      </c>
      <c r="E56" t="s">
        <v>265</v>
      </c>
      <c r="F56" s="2">
        <v>1608040000000</v>
      </c>
      <c r="G56" t="s">
        <v>185</v>
      </c>
      <c r="H56" s="3">
        <v>124172</v>
      </c>
      <c r="I56" s="3">
        <v>263731</v>
      </c>
      <c r="J56" s="3">
        <v>83448</v>
      </c>
      <c r="K56" s="3">
        <v>0</v>
      </c>
      <c r="L56" s="3">
        <v>0</v>
      </c>
      <c r="M56" s="3">
        <v>5687</v>
      </c>
      <c r="N56" s="3">
        <v>31997</v>
      </c>
      <c r="O56" s="3">
        <v>0</v>
      </c>
      <c r="P56" s="3">
        <v>330497</v>
      </c>
      <c r="Q56" s="3">
        <f t="shared" si="0"/>
        <v>839532</v>
      </c>
    </row>
    <row r="57" spans="1:17" x14ac:dyDescent="0.2">
      <c r="A57" t="s">
        <v>384</v>
      </c>
      <c r="B57" t="s">
        <v>385</v>
      </c>
      <c r="C57" t="s">
        <v>386</v>
      </c>
      <c r="D57" s="2">
        <v>1533050000000</v>
      </c>
      <c r="E57" t="s">
        <v>387</v>
      </c>
      <c r="F57" s="2">
        <v>1619010000000</v>
      </c>
      <c r="G57" t="s">
        <v>257</v>
      </c>
      <c r="H57" s="3">
        <v>123968</v>
      </c>
      <c r="I57" s="3">
        <v>708292</v>
      </c>
      <c r="J57" s="3">
        <v>24784</v>
      </c>
      <c r="K57" s="3">
        <v>0</v>
      </c>
      <c r="L57" s="3">
        <v>0</v>
      </c>
      <c r="M57" s="3">
        <v>0</v>
      </c>
      <c r="N57" s="3">
        <v>477</v>
      </c>
      <c r="O57" s="3">
        <v>0</v>
      </c>
      <c r="P57" s="3">
        <v>811614</v>
      </c>
      <c r="Q57" s="3">
        <f t="shared" si="0"/>
        <v>1669135</v>
      </c>
    </row>
    <row r="58" spans="1:17" x14ac:dyDescent="0.2">
      <c r="A58" t="s">
        <v>458</v>
      </c>
      <c r="B58" t="s">
        <v>459</v>
      </c>
      <c r="C58" t="s">
        <v>460</v>
      </c>
      <c r="D58" s="2">
        <v>1390350000000</v>
      </c>
      <c r="E58" t="s">
        <v>461</v>
      </c>
      <c r="F58" s="2">
        <v>1619720000000</v>
      </c>
      <c r="G58" t="s">
        <v>68</v>
      </c>
      <c r="H58" s="3">
        <v>123372</v>
      </c>
      <c r="I58" s="3">
        <v>693339</v>
      </c>
      <c r="J58" s="3">
        <v>80822</v>
      </c>
      <c r="K58" s="3">
        <v>8</v>
      </c>
      <c r="L58" s="3">
        <v>173</v>
      </c>
      <c r="M58" s="3">
        <v>220384</v>
      </c>
      <c r="N58" s="3">
        <v>44061</v>
      </c>
      <c r="O58" s="3">
        <v>0</v>
      </c>
      <c r="P58" s="3">
        <v>766480</v>
      </c>
      <c r="Q58" s="3">
        <f t="shared" si="0"/>
        <v>1928639</v>
      </c>
    </row>
    <row r="59" spans="1:17" x14ac:dyDescent="0.2">
      <c r="A59" t="s">
        <v>608</v>
      </c>
      <c r="B59" t="s">
        <v>609</v>
      </c>
      <c r="C59" t="s">
        <v>610</v>
      </c>
      <c r="D59" s="2">
        <v>1543440000000</v>
      </c>
      <c r="E59" t="s">
        <v>611</v>
      </c>
      <c r="F59" s="2">
        <v>1619620000000</v>
      </c>
      <c r="G59" t="s">
        <v>257</v>
      </c>
      <c r="H59" s="3">
        <v>117934</v>
      </c>
      <c r="I59" s="3">
        <v>737856</v>
      </c>
      <c r="J59" s="3">
        <v>116101</v>
      </c>
      <c r="K59" s="3">
        <v>0</v>
      </c>
      <c r="L59" s="3">
        <v>0</v>
      </c>
      <c r="M59" s="3">
        <v>0</v>
      </c>
      <c r="N59" s="3">
        <v>438</v>
      </c>
      <c r="O59" s="3">
        <v>0</v>
      </c>
      <c r="P59" s="3">
        <v>1106846</v>
      </c>
      <c r="Q59" s="3">
        <f t="shared" si="0"/>
        <v>2079175</v>
      </c>
    </row>
    <row r="60" spans="1:17" x14ac:dyDescent="0.2">
      <c r="A60" t="s">
        <v>299</v>
      </c>
      <c r="B60" t="s">
        <v>300</v>
      </c>
      <c r="C60" t="s">
        <v>301</v>
      </c>
      <c r="D60" s="2">
        <v>1406740000000</v>
      </c>
      <c r="E60" t="s">
        <v>302</v>
      </c>
      <c r="F60" s="2">
        <v>1619830000000</v>
      </c>
      <c r="G60" t="s">
        <v>185</v>
      </c>
      <c r="H60" s="3">
        <v>117559</v>
      </c>
      <c r="I60" s="3">
        <v>551596</v>
      </c>
      <c r="J60" s="3">
        <v>360573</v>
      </c>
      <c r="K60" s="3">
        <v>0</v>
      </c>
      <c r="L60" s="3">
        <v>701</v>
      </c>
      <c r="M60" s="3">
        <v>1162692</v>
      </c>
      <c r="N60" s="3">
        <v>32042</v>
      </c>
      <c r="O60" s="3">
        <v>0</v>
      </c>
      <c r="P60" s="3">
        <v>1155039</v>
      </c>
      <c r="Q60" s="3">
        <f t="shared" si="0"/>
        <v>3380202</v>
      </c>
    </row>
    <row r="61" spans="1:17" x14ac:dyDescent="0.2">
      <c r="A61" t="s">
        <v>426</v>
      </c>
      <c r="B61" t="s">
        <v>427</v>
      </c>
      <c r="C61" t="s">
        <v>428</v>
      </c>
      <c r="D61" s="2">
        <v>1507340000000</v>
      </c>
      <c r="E61" t="s">
        <v>429</v>
      </c>
      <c r="F61" s="2">
        <v>1611720000000</v>
      </c>
      <c r="G61" t="s">
        <v>59</v>
      </c>
      <c r="H61" s="3">
        <v>113796</v>
      </c>
      <c r="I61" s="3">
        <v>389874</v>
      </c>
      <c r="J61" s="3">
        <v>13378</v>
      </c>
      <c r="K61" s="3">
        <v>0</v>
      </c>
      <c r="L61" s="3">
        <v>0</v>
      </c>
      <c r="M61" s="3">
        <v>0</v>
      </c>
      <c r="N61" s="3">
        <v>65</v>
      </c>
      <c r="O61" s="3">
        <v>0</v>
      </c>
      <c r="P61" s="3">
        <v>457850</v>
      </c>
      <c r="Q61" s="3">
        <f t="shared" si="0"/>
        <v>974963</v>
      </c>
    </row>
    <row r="62" spans="1:17" x14ac:dyDescent="0.2">
      <c r="A62" t="s">
        <v>294</v>
      </c>
      <c r="B62" t="s">
        <v>295</v>
      </c>
      <c r="C62" t="s">
        <v>296</v>
      </c>
      <c r="D62" s="2">
        <v>1445530000000</v>
      </c>
      <c r="E62" t="s">
        <v>297</v>
      </c>
      <c r="F62" s="2">
        <v>1608580000000</v>
      </c>
      <c r="G62" t="s">
        <v>298</v>
      </c>
      <c r="H62" s="3">
        <v>113633</v>
      </c>
      <c r="I62" s="3">
        <v>443473</v>
      </c>
      <c r="J62" s="3">
        <v>123010</v>
      </c>
      <c r="K62" s="3">
        <v>77267</v>
      </c>
      <c r="L62" s="3">
        <v>126</v>
      </c>
      <c r="M62" s="3">
        <v>529270</v>
      </c>
      <c r="N62" s="3">
        <v>62979</v>
      </c>
      <c r="O62" s="3">
        <v>0</v>
      </c>
      <c r="P62" s="3">
        <v>460754</v>
      </c>
      <c r="Q62" s="3">
        <f t="shared" si="0"/>
        <v>1810512</v>
      </c>
    </row>
    <row r="63" spans="1:17" x14ac:dyDescent="0.2">
      <c r="A63" t="s">
        <v>435</v>
      </c>
      <c r="B63" t="s">
        <v>436</v>
      </c>
      <c r="C63" t="s">
        <v>437</v>
      </c>
      <c r="D63" s="2">
        <v>1366670000000</v>
      </c>
      <c r="E63" t="s">
        <v>438</v>
      </c>
      <c r="F63" s="2">
        <v>1618250000000</v>
      </c>
      <c r="G63" t="s">
        <v>68</v>
      </c>
      <c r="H63" s="3">
        <v>111564</v>
      </c>
      <c r="I63" s="3">
        <v>187159</v>
      </c>
      <c r="J63" s="3">
        <v>140761</v>
      </c>
      <c r="K63" s="3">
        <v>52257</v>
      </c>
      <c r="L63" s="3">
        <v>159</v>
      </c>
      <c r="M63" s="3">
        <v>402739</v>
      </c>
      <c r="N63" s="3">
        <v>20066</v>
      </c>
      <c r="O63" s="3">
        <v>0</v>
      </c>
      <c r="P63" s="3">
        <v>187321</v>
      </c>
      <c r="Q63" s="3">
        <f t="shared" si="0"/>
        <v>1102026</v>
      </c>
    </row>
    <row r="64" spans="1:17" x14ac:dyDescent="0.2">
      <c r="A64" t="s">
        <v>750</v>
      </c>
      <c r="B64" t="s">
        <v>751</v>
      </c>
      <c r="C64" t="s">
        <v>752</v>
      </c>
      <c r="D64" s="2">
        <v>1536590000000</v>
      </c>
      <c r="E64" t="s">
        <v>753</v>
      </c>
      <c r="F64" s="2">
        <v>1619550000000</v>
      </c>
      <c r="G64" t="s">
        <v>519</v>
      </c>
      <c r="H64" s="3">
        <v>107488</v>
      </c>
      <c r="I64" s="3">
        <v>2620369</v>
      </c>
      <c r="J64" s="3">
        <v>36536</v>
      </c>
      <c r="K64" s="3">
        <v>0</v>
      </c>
      <c r="L64" s="3">
        <v>964</v>
      </c>
      <c r="M64" s="3">
        <v>99875</v>
      </c>
      <c r="N64" s="3">
        <v>14581</v>
      </c>
      <c r="O64" s="3">
        <v>47</v>
      </c>
      <c r="P64" s="3">
        <v>2697550</v>
      </c>
      <c r="Q64" s="3">
        <f t="shared" si="0"/>
        <v>5577410</v>
      </c>
    </row>
    <row r="65" spans="1:17" x14ac:dyDescent="0.2">
      <c r="A65" t="s">
        <v>478</v>
      </c>
      <c r="B65" t="s">
        <v>479</v>
      </c>
      <c r="C65" t="s">
        <v>480</v>
      </c>
      <c r="D65" s="2">
        <v>1366730000000</v>
      </c>
      <c r="E65" t="s">
        <v>481</v>
      </c>
      <c r="F65" s="2">
        <v>1608040000000</v>
      </c>
      <c r="G65" t="s">
        <v>59</v>
      </c>
      <c r="H65" s="3">
        <v>107059</v>
      </c>
      <c r="I65" s="3">
        <v>178070</v>
      </c>
      <c r="J65" s="3">
        <v>62448</v>
      </c>
      <c r="K65" s="3">
        <v>0</v>
      </c>
      <c r="L65" s="3">
        <v>0</v>
      </c>
      <c r="M65" s="3">
        <v>83898</v>
      </c>
      <c r="N65" s="3">
        <v>7609</v>
      </c>
      <c r="O65" s="3">
        <v>0</v>
      </c>
      <c r="P65" s="3">
        <v>239200</v>
      </c>
      <c r="Q65" s="3">
        <f t="shared" si="0"/>
        <v>678284</v>
      </c>
    </row>
    <row r="66" spans="1:17" x14ac:dyDescent="0.2">
      <c r="A66" t="s">
        <v>462</v>
      </c>
      <c r="B66" t="s">
        <v>463</v>
      </c>
      <c r="C66" t="s">
        <v>464</v>
      </c>
      <c r="D66" s="2">
        <v>1435760000000</v>
      </c>
      <c r="E66" t="s">
        <v>465</v>
      </c>
      <c r="F66" s="2">
        <v>1611600000000</v>
      </c>
      <c r="G66" t="s">
        <v>68</v>
      </c>
      <c r="H66" s="3">
        <v>104462</v>
      </c>
      <c r="I66" s="3">
        <v>206644</v>
      </c>
      <c r="J66" s="3">
        <v>39238</v>
      </c>
      <c r="K66" s="3">
        <v>3</v>
      </c>
      <c r="L66" s="3">
        <v>171</v>
      </c>
      <c r="M66" s="3">
        <v>115499</v>
      </c>
      <c r="N66" s="3">
        <v>5762</v>
      </c>
      <c r="O66" s="3">
        <v>0</v>
      </c>
      <c r="P66" s="3">
        <v>229495</v>
      </c>
      <c r="Q66" s="3">
        <f t="shared" si="0"/>
        <v>701274</v>
      </c>
    </row>
    <row r="67" spans="1:17" x14ac:dyDescent="0.2">
      <c r="A67" t="s">
        <v>218</v>
      </c>
      <c r="B67" t="s">
        <v>219</v>
      </c>
      <c r="C67" t="s">
        <v>220</v>
      </c>
      <c r="D67" s="2">
        <v>1427380000000</v>
      </c>
      <c r="E67" t="s">
        <v>221</v>
      </c>
      <c r="F67" s="2">
        <v>1608220000000</v>
      </c>
      <c r="G67" t="s">
        <v>68</v>
      </c>
      <c r="H67" s="3">
        <v>102845</v>
      </c>
      <c r="I67" s="3">
        <v>174753</v>
      </c>
      <c r="J67" s="3">
        <v>62817</v>
      </c>
      <c r="K67" s="3">
        <v>0</v>
      </c>
      <c r="L67" s="3">
        <v>74</v>
      </c>
      <c r="M67" s="3">
        <v>200149</v>
      </c>
      <c r="N67" s="3">
        <v>8783</v>
      </c>
      <c r="O67" s="3">
        <v>0</v>
      </c>
      <c r="P67" s="3">
        <v>175085</v>
      </c>
      <c r="Q67" s="3">
        <f t="shared" ref="Q67:Q130" si="1">SUM(H67:P67)</f>
        <v>724506</v>
      </c>
    </row>
    <row r="68" spans="1:17" x14ac:dyDescent="0.2">
      <c r="A68" t="s">
        <v>758</v>
      </c>
      <c r="B68" t="s">
        <v>759</v>
      </c>
      <c r="C68" t="s">
        <v>760</v>
      </c>
      <c r="D68" s="2">
        <v>1554400000000</v>
      </c>
      <c r="E68" t="s">
        <v>761</v>
      </c>
      <c r="F68" s="2">
        <v>1619720000000</v>
      </c>
      <c r="G68" t="s">
        <v>257</v>
      </c>
      <c r="H68" s="3">
        <v>101147</v>
      </c>
      <c r="I68" s="3">
        <v>581306</v>
      </c>
      <c r="J68" s="3">
        <v>121738</v>
      </c>
      <c r="K68" s="3">
        <v>0</v>
      </c>
      <c r="L68" s="3">
        <v>0</v>
      </c>
      <c r="M68" s="3">
        <v>0</v>
      </c>
      <c r="N68" s="3">
        <v>1033</v>
      </c>
      <c r="O68" s="3">
        <v>0</v>
      </c>
      <c r="P68" s="3">
        <v>921764</v>
      </c>
      <c r="Q68" s="3">
        <f t="shared" si="1"/>
        <v>1726988</v>
      </c>
    </row>
    <row r="69" spans="1:17" x14ac:dyDescent="0.2">
      <c r="A69" t="s">
        <v>239</v>
      </c>
      <c r="B69" t="s">
        <v>240</v>
      </c>
      <c r="C69" t="s">
        <v>241</v>
      </c>
      <c r="D69" s="2">
        <v>1508800000000</v>
      </c>
      <c r="E69" t="s">
        <v>242</v>
      </c>
      <c r="F69" s="2">
        <v>1616170000000</v>
      </c>
      <c r="G69" t="s">
        <v>35</v>
      </c>
      <c r="H69" s="3">
        <v>98798</v>
      </c>
      <c r="I69" s="3">
        <v>1099051</v>
      </c>
      <c r="J69" s="3">
        <v>155872</v>
      </c>
      <c r="K69" s="3">
        <v>0</v>
      </c>
      <c r="L69" s="3">
        <v>0</v>
      </c>
      <c r="M69" s="3">
        <v>0</v>
      </c>
      <c r="N69" s="3">
        <v>5062</v>
      </c>
      <c r="O69" s="3">
        <v>0</v>
      </c>
      <c r="P69" s="3">
        <v>1468035</v>
      </c>
      <c r="Q69" s="3">
        <f t="shared" si="1"/>
        <v>2826818</v>
      </c>
    </row>
    <row r="70" spans="1:17" x14ac:dyDescent="0.2">
      <c r="A70" t="s">
        <v>333</v>
      </c>
      <c r="B70" t="s">
        <v>334</v>
      </c>
      <c r="C70" t="s">
        <v>335</v>
      </c>
      <c r="D70" s="2">
        <v>1372050000000</v>
      </c>
      <c r="E70" t="s">
        <v>134</v>
      </c>
      <c r="F70" s="2">
        <v>1608040000000</v>
      </c>
      <c r="G70" t="s">
        <v>68</v>
      </c>
      <c r="H70" s="3">
        <v>97616</v>
      </c>
      <c r="I70" s="3">
        <v>233975</v>
      </c>
      <c r="J70" s="3">
        <v>133169</v>
      </c>
      <c r="K70" s="3">
        <v>0</v>
      </c>
      <c r="L70" s="3">
        <v>4</v>
      </c>
      <c r="M70" s="3">
        <v>358920</v>
      </c>
      <c r="N70" s="3">
        <v>11622</v>
      </c>
      <c r="O70" s="3">
        <v>0</v>
      </c>
      <c r="P70" s="3">
        <v>233976</v>
      </c>
      <c r="Q70" s="3">
        <f t="shared" si="1"/>
        <v>1069282</v>
      </c>
    </row>
    <row r="71" spans="1:17" x14ac:dyDescent="0.2">
      <c r="A71" t="s">
        <v>168</v>
      </c>
      <c r="B71" t="s">
        <v>169</v>
      </c>
      <c r="C71" t="s">
        <v>170</v>
      </c>
      <c r="D71" s="2">
        <v>1528310000000</v>
      </c>
      <c r="E71" t="s">
        <v>171</v>
      </c>
      <c r="F71" s="2">
        <v>1619110000000</v>
      </c>
      <c r="G71" t="s">
        <v>172</v>
      </c>
      <c r="H71" s="3">
        <v>94134</v>
      </c>
      <c r="I71" s="3">
        <v>1030956</v>
      </c>
      <c r="J71" s="3">
        <v>877417</v>
      </c>
      <c r="K71" s="3">
        <v>0</v>
      </c>
      <c r="L71" s="3">
        <v>17614</v>
      </c>
      <c r="M71" s="3">
        <v>1384046</v>
      </c>
      <c r="N71" s="3">
        <v>641726</v>
      </c>
      <c r="O71" s="3">
        <v>0</v>
      </c>
      <c r="P71" s="3">
        <v>313853</v>
      </c>
      <c r="Q71" s="3">
        <f t="shared" si="1"/>
        <v>4359746</v>
      </c>
    </row>
    <row r="72" spans="1:17" x14ac:dyDescent="0.2">
      <c r="A72" t="s">
        <v>494</v>
      </c>
      <c r="B72" t="s">
        <v>495</v>
      </c>
      <c r="C72" t="s">
        <v>496</v>
      </c>
      <c r="D72" s="2">
        <v>1423060000000</v>
      </c>
      <c r="E72" t="s">
        <v>497</v>
      </c>
      <c r="F72" s="2">
        <v>1615840000000</v>
      </c>
      <c r="G72" t="s">
        <v>25</v>
      </c>
      <c r="H72" s="3">
        <v>93784</v>
      </c>
      <c r="I72" s="3">
        <v>697861</v>
      </c>
      <c r="J72" s="3">
        <v>32590</v>
      </c>
      <c r="K72" s="3">
        <v>0</v>
      </c>
      <c r="L72" s="3">
        <v>23</v>
      </c>
      <c r="M72" s="3">
        <v>81476</v>
      </c>
      <c r="N72" s="3">
        <v>6359</v>
      </c>
      <c r="O72" s="3">
        <v>0</v>
      </c>
      <c r="P72" s="3">
        <v>701691</v>
      </c>
      <c r="Q72" s="3">
        <f t="shared" si="1"/>
        <v>1613784</v>
      </c>
    </row>
    <row r="73" spans="1:17" x14ac:dyDescent="0.2">
      <c r="A73" t="s">
        <v>586</v>
      </c>
      <c r="B73" t="s">
        <v>587</v>
      </c>
      <c r="C73" t="s">
        <v>588</v>
      </c>
      <c r="D73" s="2">
        <v>1544630000000</v>
      </c>
      <c r="E73" t="s">
        <v>589</v>
      </c>
      <c r="F73" s="2">
        <v>1619820000000</v>
      </c>
      <c r="G73" t="s">
        <v>590</v>
      </c>
      <c r="H73" s="3">
        <v>92222</v>
      </c>
      <c r="I73" s="3">
        <v>490442</v>
      </c>
      <c r="J73" s="3">
        <v>324</v>
      </c>
      <c r="K73" s="3">
        <v>0</v>
      </c>
      <c r="L73" s="3">
        <v>0</v>
      </c>
      <c r="M73" s="3">
        <v>0</v>
      </c>
      <c r="N73" s="3">
        <v>15</v>
      </c>
      <c r="O73" s="3">
        <v>0</v>
      </c>
      <c r="P73" s="3">
        <v>534567</v>
      </c>
      <c r="Q73" s="3">
        <f t="shared" si="1"/>
        <v>1117570</v>
      </c>
    </row>
    <row r="74" spans="1:17" x14ac:dyDescent="0.2">
      <c r="A74" t="s">
        <v>362</v>
      </c>
      <c r="B74" t="s">
        <v>363</v>
      </c>
      <c r="C74" t="s">
        <v>364</v>
      </c>
      <c r="D74" s="2">
        <v>1366820000000</v>
      </c>
      <c r="E74" t="s">
        <v>365</v>
      </c>
      <c r="F74" s="2">
        <v>1611770000000</v>
      </c>
      <c r="G74" t="s">
        <v>68</v>
      </c>
      <c r="H74" s="3">
        <v>91937</v>
      </c>
      <c r="I74" s="3">
        <v>183700</v>
      </c>
      <c r="J74" s="3">
        <v>217290</v>
      </c>
      <c r="K74" s="3">
        <v>0</v>
      </c>
      <c r="L74" s="3">
        <v>500</v>
      </c>
      <c r="M74" s="3">
        <v>725876</v>
      </c>
      <c r="N74" s="3">
        <v>60040</v>
      </c>
      <c r="O74" s="3">
        <v>0</v>
      </c>
      <c r="P74" s="3">
        <v>185968</v>
      </c>
      <c r="Q74" s="3">
        <f t="shared" si="1"/>
        <v>1465311</v>
      </c>
    </row>
    <row r="75" spans="1:17" x14ac:dyDescent="0.2">
      <c r="A75" t="s">
        <v>357</v>
      </c>
      <c r="B75" t="s">
        <v>358</v>
      </c>
      <c r="C75" t="s">
        <v>359</v>
      </c>
      <c r="D75" s="2">
        <v>1407170000000</v>
      </c>
      <c r="E75" t="s">
        <v>360</v>
      </c>
      <c r="F75" s="2">
        <v>1618940000000</v>
      </c>
      <c r="G75" t="s">
        <v>361</v>
      </c>
      <c r="H75" s="3">
        <v>91377</v>
      </c>
      <c r="I75" s="3">
        <v>221400</v>
      </c>
      <c r="J75" s="3">
        <v>112390</v>
      </c>
      <c r="K75" s="3">
        <v>16967</v>
      </c>
      <c r="L75" s="3">
        <v>417</v>
      </c>
      <c r="M75" s="3">
        <v>312211</v>
      </c>
      <c r="N75" s="3">
        <v>80326</v>
      </c>
      <c r="O75" s="3">
        <v>0</v>
      </c>
      <c r="P75" s="3">
        <v>221402</v>
      </c>
      <c r="Q75" s="3">
        <f t="shared" si="1"/>
        <v>1056490</v>
      </c>
    </row>
    <row r="76" spans="1:17" x14ac:dyDescent="0.2">
      <c r="A76" t="s">
        <v>104</v>
      </c>
      <c r="B76" t="s">
        <v>105</v>
      </c>
      <c r="C76" t="s">
        <v>106</v>
      </c>
      <c r="D76" s="2">
        <v>1494960000000</v>
      </c>
      <c r="E76" t="s">
        <v>58</v>
      </c>
      <c r="F76" s="2">
        <v>1611720000000</v>
      </c>
      <c r="G76" t="s">
        <v>59</v>
      </c>
      <c r="H76" s="3">
        <v>87548</v>
      </c>
      <c r="I76" s="3">
        <v>1408412</v>
      </c>
      <c r="J76" s="3">
        <v>73270</v>
      </c>
      <c r="K76" s="3">
        <v>47</v>
      </c>
      <c r="L76" s="3">
        <v>0</v>
      </c>
      <c r="M76" s="3">
        <v>0</v>
      </c>
      <c r="N76" s="3">
        <v>169</v>
      </c>
      <c r="O76" s="3">
        <v>7</v>
      </c>
      <c r="P76" s="3">
        <v>1633437</v>
      </c>
      <c r="Q76" s="3">
        <f t="shared" si="1"/>
        <v>3202890</v>
      </c>
    </row>
    <row r="77" spans="1:17" x14ac:dyDescent="0.2">
      <c r="A77" t="s">
        <v>111</v>
      </c>
      <c r="B77" t="s">
        <v>112</v>
      </c>
      <c r="C77" t="s">
        <v>113</v>
      </c>
      <c r="D77" s="2">
        <v>1505500000000</v>
      </c>
      <c r="E77" t="s">
        <v>80</v>
      </c>
      <c r="F77" s="2">
        <v>1611720000000</v>
      </c>
      <c r="G77" t="s">
        <v>114</v>
      </c>
      <c r="H77" s="3">
        <v>87284</v>
      </c>
      <c r="I77" s="3">
        <v>145538</v>
      </c>
      <c r="J77" s="3">
        <v>85109</v>
      </c>
      <c r="K77" s="3">
        <v>0</v>
      </c>
      <c r="L77" s="3">
        <v>7798</v>
      </c>
      <c r="M77" s="3">
        <v>1559620</v>
      </c>
      <c r="N77" s="3">
        <v>2437</v>
      </c>
      <c r="O77" s="3">
        <v>0</v>
      </c>
      <c r="P77" s="3">
        <v>145754</v>
      </c>
      <c r="Q77" s="3">
        <f t="shared" si="1"/>
        <v>2033540</v>
      </c>
    </row>
    <row r="78" spans="1:17" x14ac:dyDescent="0.2">
      <c r="A78" t="s">
        <v>26</v>
      </c>
      <c r="B78" t="s">
        <v>27</v>
      </c>
      <c r="C78" t="s">
        <v>28</v>
      </c>
      <c r="D78" s="2">
        <v>1366650000000</v>
      </c>
      <c r="E78" t="s">
        <v>29</v>
      </c>
      <c r="F78" s="2">
        <v>1619550000000</v>
      </c>
      <c r="G78" t="s">
        <v>30</v>
      </c>
      <c r="H78" s="3">
        <v>85143</v>
      </c>
      <c r="I78" s="3">
        <v>827547</v>
      </c>
      <c r="J78" s="3">
        <v>112144</v>
      </c>
      <c r="K78" s="3">
        <v>3</v>
      </c>
      <c r="L78" s="3">
        <v>83</v>
      </c>
      <c r="M78" s="3">
        <v>221293</v>
      </c>
      <c r="N78" s="3">
        <v>19111</v>
      </c>
      <c r="O78" s="3">
        <v>21</v>
      </c>
      <c r="P78" s="3">
        <v>930688</v>
      </c>
      <c r="Q78" s="3">
        <f t="shared" si="1"/>
        <v>2196033</v>
      </c>
    </row>
    <row r="79" spans="1:17" x14ac:dyDescent="0.2">
      <c r="A79" t="s">
        <v>581</v>
      </c>
      <c r="B79" t="s">
        <v>582</v>
      </c>
      <c r="C79" t="s">
        <v>583</v>
      </c>
      <c r="D79" s="2">
        <v>1545160000000</v>
      </c>
      <c r="E79" t="s">
        <v>584</v>
      </c>
      <c r="F79" s="2">
        <v>1610040000000</v>
      </c>
      <c r="G79" t="s">
        <v>585</v>
      </c>
      <c r="H79" s="3">
        <v>84149</v>
      </c>
      <c r="I79" s="3">
        <v>523740</v>
      </c>
      <c r="J79" s="3">
        <v>25881</v>
      </c>
      <c r="K79" s="3">
        <v>0</v>
      </c>
      <c r="L79" s="3">
        <v>0</v>
      </c>
      <c r="M79" s="3">
        <v>79</v>
      </c>
      <c r="N79" s="3">
        <v>449</v>
      </c>
      <c r="O79" s="3">
        <v>0</v>
      </c>
      <c r="P79" s="3">
        <v>657162</v>
      </c>
      <c r="Q79" s="3">
        <f t="shared" si="1"/>
        <v>1291460</v>
      </c>
    </row>
    <row r="80" spans="1:17" x14ac:dyDescent="0.2">
      <c r="A80" t="s">
        <v>537</v>
      </c>
      <c r="B80" t="s">
        <v>538</v>
      </c>
      <c r="C80" t="s">
        <v>539</v>
      </c>
      <c r="D80" s="2">
        <v>1527710000000</v>
      </c>
      <c r="E80" t="s">
        <v>540</v>
      </c>
      <c r="F80" s="2">
        <v>1616790000000</v>
      </c>
      <c r="G80" t="s">
        <v>59</v>
      </c>
      <c r="H80" s="3">
        <v>83507</v>
      </c>
      <c r="I80" s="3">
        <v>108730</v>
      </c>
      <c r="J80" s="3">
        <v>2714</v>
      </c>
      <c r="K80" s="3">
        <v>0</v>
      </c>
      <c r="L80" s="3">
        <v>0</v>
      </c>
      <c r="M80" s="3">
        <v>0</v>
      </c>
      <c r="N80" s="3">
        <v>505</v>
      </c>
      <c r="O80" s="3">
        <v>0</v>
      </c>
      <c r="P80" s="3">
        <v>154406</v>
      </c>
      <c r="Q80" s="3">
        <f t="shared" si="1"/>
        <v>349862</v>
      </c>
    </row>
    <row r="81" spans="1:17" x14ac:dyDescent="0.2">
      <c r="A81" t="s">
        <v>353</v>
      </c>
      <c r="B81" t="s">
        <v>354</v>
      </c>
      <c r="C81" t="s">
        <v>355</v>
      </c>
      <c r="D81" s="2">
        <v>1366670000000</v>
      </c>
      <c r="E81" t="s">
        <v>356</v>
      </c>
      <c r="F81" s="2">
        <v>1608210000000</v>
      </c>
      <c r="G81" t="s">
        <v>68</v>
      </c>
      <c r="H81" s="3">
        <v>81721</v>
      </c>
      <c r="I81" s="3">
        <v>150915</v>
      </c>
      <c r="J81" s="3">
        <v>136155</v>
      </c>
      <c r="K81" s="3">
        <v>0</v>
      </c>
      <c r="L81" s="3">
        <v>63</v>
      </c>
      <c r="M81" s="3">
        <v>311894</v>
      </c>
      <c r="N81" s="3">
        <v>16297</v>
      </c>
      <c r="O81" s="3">
        <v>0</v>
      </c>
      <c r="P81" s="3">
        <v>150918</v>
      </c>
      <c r="Q81" s="3">
        <f t="shared" si="1"/>
        <v>847963</v>
      </c>
    </row>
    <row r="82" spans="1:17" x14ac:dyDescent="0.2">
      <c r="A82" t="s">
        <v>280</v>
      </c>
      <c r="B82" t="s">
        <v>281</v>
      </c>
      <c r="C82" t="s">
        <v>282</v>
      </c>
      <c r="D82" s="2">
        <v>1490820000000</v>
      </c>
      <c r="E82" t="s">
        <v>283</v>
      </c>
      <c r="F82" s="2">
        <v>1617300000000</v>
      </c>
      <c r="G82" t="s">
        <v>284</v>
      </c>
      <c r="H82" s="3">
        <v>77774</v>
      </c>
      <c r="I82" s="3">
        <v>401056</v>
      </c>
      <c r="J82" s="3">
        <v>103437</v>
      </c>
      <c r="K82" s="3">
        <v>0</v>
      </c>
      <c r="L82" s="3">
        <v>78</v>
      </c>
      <c r="M82" s="3">
        <v>166928</v>
      </c>
      <c r="N82" s="3">
        <v>10662</v>
      </c>
      <c r="O82" s="3">
        <v>0</v>
      </c>
      <c r="P82" s="3">
        <v>1125174</v>
      </c>
      <c r="Q82" s="3">
        <f t="shared" si="1"/>
        <v>1885109</v>
      </c>
    </row>
    <row r="83" spans="1:17" x14ac:dyDescent="0.2">
      <c r="A83" t="s">
        <v>349</v>
      </c>
      <c r="B83" t="s">
        <v>350</v>
      </c>
      <c r="C83" t="s">
        <v>351</v>
      </c>
      <c r="D83" s="2">
        <v>1433360000000</v>
      </c>
      <c r="E83" t="s">
        <v>352</v>
      </c>
      <c r="F83" s="2">
        <v>1611720000000</v>
      </c>
      <c r="G83" t="s">
        <v>30</v>
      </c>
      <c r="H83" s="3">
        <v>77530</v>
      </c>
      <c r="I83" s="3">
        <v>159468</v>
      </c>
      <c r="J83" s="3">
        <v>30474</v>
      </c>
      <c r="K83" s="3">
        <v>0</v>
      </c>
      <c r="L83" s="3">
        <v>159</v>
      </c>
      <c r="M83" s="3">
        <v>75757</v>
      </c>
      <c r="N83" s="3">
        <v>4723</v>
      </c>
      <c r="O83" s="3">
        <v>0</v>
      </c>
      <c r="P83" s="3">
        <v>205488</v>
      </c>
      <c r="Q83" s="3">
        <f t="shared" si="1"/>
        <v>553599</v>
      </c>
    </row>
    <row r="84" spans="1:17" x14ac:dyDescent="0.2">
      <c r="A84" t="s">
        <v>135</v>
      </c>
      <c r="B84" t="s">
        <v>136</v>
      </c>
      <c r="C84" t="s">
        <v>137</v>
      </c>
      <c r="D84" s="2">
        <v>1428340000000</v>
      </c>
      <c r="E84" t="s">
        <v>138</v>
      </c>
      <c r="F84" s="2">
        <v>1615240000000</v>
      </c>
      <c r="G84" t="s">
        <v>139</v>
      </c>
      <c r="H84" s="3">
        <v>75869</v>
      </c>
      <c r="I84" s="3">
        <v>223312</v>
      </c>
      <c r="J84" s="3">
        <v>1333</v>
      </c>
      <c r="K84" s="3">
        <v>0</v>
      </c>
      <c r="L84" s="3">
        <v>2</v>
      </c>
      <c r="M84" s="3">
        <v>3976</v>
      </c>
      <c r="N84" s="3">
        <v>4</v>
      </c>
      <c r="O84" s="3">
        <v>0</v>
      </c>
      <c r="P84" s="3">
        <v>247203</v>
      </c>
      <c r="Q84" s="3">
        <f t="shared" si="1"/>
        <v>551699</v>
      </c>
    </row>
    <row r="85" spans="1:17" x14ac:dyDescent="0.2">
      <c r="A85" t="s">
        <v>155</v>
      </c>
      <c r="B85" t="s">
        <v>156</v>
      </c>
      <c r="C85" t="s">
        <v>157</v>
      </c>
      <c r="D85" s="2">
        <v>1495120000000</v>
      </c>
      <c r="E85" t="s">
        <v>158</v>
      </c>
      <c r="F85" s="2">
        <v>1617740000000</v>
      </c>
      <c r="G85" t="s">
        <v>25</v>
      </c>
      <c r="H85" s="3">
        <v>71661</v>
      </c>
      <c r="I85" s="3">
        <v>184769</v>
      </c>
      <c r="J85" s="3">
        <v>254221</v>
      </c>
      <c r="K85" s="3">
        <v>0</v>
      </c>
      <c r="L85" s="3">
        <v>303</v>
      </c>
      <c r="M85" s="3">
        <v>1216295</v>
      </c>
      <c r="N85" s="3">
        <v>24980</v>
      </c>
      <c r="O85" s="3">
        <v>131</v>
      </c>
      <c r="P85" s="3">
        <v>185077</v>
      </c>
      <c r="Q85" s="3">
        <f t="shared" si="1"/>
        <v>1937437</v>
      </c>
    </row>
    <row r="86" spans="1:17" x14ac:dyDescent="0.2">
      <c r="A86" t="s">
        <v>803</v>
      </c>
      <c r="B86" t="s">
        <v>804</v>
      </c>
      <c r="C86" t="s">
        <v>805</v>
      </c>
      <c r="D86" s="2">
        <v>1556800000000</v>
      </c>
      <c r="E86" t="s">
        <v>806</v>
      </c>
      <c r="F86" s="2">
        <v>1617720000000</v>
      </c>
      <c r="G86" t="s">
        <v>807</v>
      </c>
      <c r="H86" s="3">
        <v>69631</v>
      </c>
      <c r="I86" s="3">
        <v>449182</v>
      </c>
      <c r="J86" s="3">
        <v>179757</v>
      </c>
      <c r="K86" s="3">
        <v>0</v>
      </c>
      <c r="L86" s="3">
        <v>7058</v>
      </c>
      <c r="M86" s="3">
        <v>315585</v>
      </c>
      <c r="N86" s="3">
        <v>161137</v>
      </c>
      <c r="O86" s="3">
        <v>0</v>
      </c>
      <c r="P86" s="3">
        <v>408343</v>
      </c>
      <c r="Q86" s="3">
        <f t="shared" si="1"/>
        <v>1590693</v>
      </c>
    </row>
    <row r="87" spans="1:17" x14ac:dyDescent="0.2">
      <c r="A87" t="s">
        <v>345</v>
      </c>
      <c r="B87" t="s">
        <v>346</v>
      </c>
      <c r="C87" t="s">
        <v>347</v>
      </c>
      <c r="D87" s="2">
        <v>1533130000000</v>
      </c>
      <c r="E87" t="s">
        <v>348</v>
      </c>
      <c r="F87" s="2">
        <v>1618420000000</v>
      </c>
      <c r="G87" t="s">
        <v>149</v>
      </c>
      <c r="H87" s="3">
        <v>62477</v>
      </c>
      <c r="I87" s="3">
        <v>756508</v>
      </c>
      <c r="J87" s="3">
        <v>4535</v>
      </c>
      <c r="K87" s="3">
        <v>0</v>
      </c>
      <c r="L87" s="3">
        <v>0</v>
      </c>
      <c r="M87" s="3">
        <v>0</v>
      </c>
      <c r="N87" s="3">
        <v>102</v>
      </c>
      <c r="O87" s="3">
        <v>0</v>
      </c>
      <c r="P87" s="3">
        <v>830797</v>
      </c>
      <c r="Q87" s="3">
        <f t="shared" si="1"/>
        <v>1654419</v>
      </c>
    </row>
    <row r="88" spans="1:17" x14ac:dyDescent="0.2">
      <c r="A88" t="s">
        <v>329</v>
      </c>
      <c r="B88" t="s">
        <v>330</v>
      </c>
      <c r="C88" t="s">
        <v>331</v>
      </c>
      <c r="D88" s="2">
        <v>1415660000000</v>
      </c>
      <c r="E88" t="s">
        <v>332</v>
      </c>
      <c r="F88" s="2">
        <v>1615820000000</v>
      </c>
      <c r="G88" t="s">
        <v>185</v>
      </c>
      <c r="H88" s="3">
        <v>60749</v>
      </c>
      <c r="I88" s="3">
        <v>157244</v>
      </c>
      <c r="J88" s="3">
        <v>398906</v>
      </c>
      <c r="K88" s="3">
        <v>3</v>
      </c>
      <c r="L88" s="3">
        <v>193</v>
      </c>
      <c r="M88" s="3">
        <v>317269</v>
      </c>
      <c r="N88" s="3">
        <v>13492</v>
      </c>
      <c r="O88" s="3">
        <v>0</v>
      </c>
      <c r="P88" s="3">
        <v>265733</v>
      </c>
      <c r="Q88" s="3">
        <f t="shared" si="1"/>
        <v>1213589</v>
      </c>
    </row>
    <row r="89" spans="1:17" x14ac:dyDescent="0.2">
      <c r="A89" t="s">
        <v>308</v>
      </c>
      <c r="B89" t="s">
        <v>309</v>
      </c>
      <c r="C89" t="s">
        <v>310</v>
      </c>
      <c r="D89" s="2">
        <v>1435770000000</v>
      </c>
      <c r="E89" t="s">
        <v>311</v>
      </c>
      <c r="F89" s="2">
        <v>1615570000000</v>
      </c>
      <c r="G89" t="s">
        <v>312</v>
      </c>
      <c r="H89" s="3">
        <v>59297</v>
      </c>
      <c r="I89" s="3">
        <v>323672</v>
      </c>
      <c r="J89" s="3">
        <v>76318</v>
      </c>
      <c r="K89" s="3">
        <v>8</v>
      </c>
      <c r="L89" s="3">
        <v>92</v>
      </c>
      <c r="M89" s="3">
        <v>229100</v>
      </c>
      <c r="N89" s="3">
        <v>5344</v>
      </c>
      <c r="O89" s="3">
        <v>0</v>
      </c>
      <c r="P89" s="3">
        <v>325582</v>
      </c>
      <c r="Q89" s="3">
        <f t="shared" si="1"/>
        <v>1019413</v>
      </c>
    </row>
    <row r="90" spans="1:17" x14ac:dyDescent="0.2">
      <c r="A90" t="s">
        <v>115</v>
      </c>
      <c r="B90" t="s">
        <v>116</v>
      </c>
      <c r="C90" t="s">
        <v>117</v>
      </c>
      <c r="D90" s="2">
        <v>1524600000000</v>
      </c>
      <c r="E90" t="s">
        <v>118</v>
      </c>
      <c r="F90" s="2">
        <v>1611720000000</v>
      </c>
      <c r="G90" t="s">
        <v>59</v>
      </c>
      <c r="H90" s="3">
        <v>57393</v>
      </c>
      <c r="I90" s="3">
        <v>344666</v>
      </c>
      <c r="J90" s="3">
        <v>25910</v>
      </c>
      <c r="K90" s="3">
        <v>0</v>
      </c>
      <c r="L90" s="3">
        <v>0</v>
      </c>
      <c r="M90" s="3">
        <v>0</v>
      </c>
      <c r="N90" s="3">
        <v>6360</v>
      </c>
      <c r="O90" s="3">
        <v>3</v>
      </c>
      <c r="P90" s="3">
        <v>432356</v>
      </c>
      <c r="Q90" s="3">
        <f t="shared" si="1"/>
        <v>866688</v>
      </c>
    </row>
    <row r="91" spans="1:17" x14ac:dyDescent="0.2">
      <c r="A91" t="s">
        <v>366</v>
      </c>
      <c r="B91" t="s">
        <v>367</v>
      </c>
      <c r="C91" t="s">
        <v>368</v>
      </c>
      <c r="D91" s="2">
        <v>1427750000000</v>
      </c>
      <c r="E91" t="s">
        <v>369</v>
      </c>
      <c r="F91" s="2">
        <v>1617210000000</v>
      </c>
      <c r="G91" t="s">
        <v>20</v>
      </c>
      <c r="H91" s="3">
        <v>57159</v>
      </c>
      <c r="I91" s="3">
        <v>2747150</v>
      </c>
      <c r="J91" s="3">
        <v>141301</v>
      </c>
      <c r="K91" s="3">
        <v>0</v>
      </c>
      <c r="L91" s="3">
        <v>121</v>
      </c>
      <c r="M91" s="3">
        <v>226597</v>
      </c>
      <c r="N91" s="3">
        <v>15573</v>
      </c>
      <c r="O91" s="3">
        <v>0</v>
      </c>
      <c r="P91" s="3">
        <v>2862107</v>
      </c>
      <c r="Q91" s="3">
        <f t="shared" si="1"/>
        <v>6050008</v>
      </c>
    </row>
    <row r="92" spans="1:17" x14ac:dyDescent="0.2">
      <c r="A92" t="s">
        <v>577</v>
      </c>
      <c r="B92" t="s">
        <v>578</v>
      </c>
      <c r="C92" t="s">
        <v>579</v>
      </c>
      <c r="D92" s="2">
        <v>1535060000000</v>
      </c>
      <c r="E92" t="s">
        <v>580</v>
      </c>
      <c r="F92" s="2">
        <v>1619720000000</v>
      </c>
      <c r="G92" t="s">
        <v>35</v>
      </c>
      <c r="H92" s="3">
        <v>57120</v>
      </c>
      <c r="I92" s="3">
        <v>411376</v>
      </c>
      <c r="J92" s="3">
        <v>25187</v>
      </c>
      <c r="K92" s="3">
        <v>0</v>
      </c>
      <c r="L92" s="3">
        <v>0</v>
      </c>
      <c r="M92" s="3">
        <v>0</v>
      </c>
      <c r="N92" s="3">
        <v>216</v>
      </c>
      <c r="O92" s="3">
        <v>0</v>
      </c>
      <c r="P92" s="3">
        <v>474550</v>
      </c>
      <c r="Q92" s="3">
        <f t="shared" si="1"/>
        <v>968449</v>
      </c>
    </row>
    <row r="93" spans="1:17" x14ac:dyDescent="0.2">
      <c r="A93" t="s">
        <v>21</v>
      </c>
      <c r="B93" t="s">
        <v>22</v>
      </c>
      <c r="C93" t="s">
        <v>23</v>
      </c>
      <c r="D93" s="2">
        <v>1366660000000</v>
      </c>
      <c r="E93" t="s">
        <v>24</v>
      </c>
      <c r="F93" s="2">
        <v>1608040000000</v>
      </c>
      <c r="G93" t="s">
        <v>25</v>
      </c>
      <c r="H93" s="3">
        <v>56314</v>
      </c>
      <c r="I93" s="3">
        <v>129857</v>
      </c>
      <c r="J93" s="3">
        <v>106960</v>
      </c>
      <c r="K93" s="3">
        <v>0</v>
      </c>
      <c r="L93" s="3">
        <v>18</v>
      </c>
      <c r="M93" s="3">
        <v>210673</v>
      </c>
      <c r="N93" s="3">
        <v>13694</v>
      </c>
      <c r="O93" s="3">
        <v>0</v>
      </c>
      <c r="P93" s="3">
        <v>139027</v>
      </c>
      <c r="Q93" s="3">
        <f t="shared" si="1"/>
        <v>656543</v>
      </c>
    </row>
    <row r="94" spans="1:17" x14ac:dyDescent="0.2">
      <c r="A94" t="s">
        <v>127</v>
      </c>
      <c r="B94" t="s">
        <v>128</v>
      </c>
      <c r="C94" t="s">
        <v>129</v>
      </c>
      <c r="D94" s="2">
        <v>1383170000000</v>
      </c>
      <c r="E94" t="s">
        <v>130</v>
      </c>
      <c r="F94" s="2">
        <v>1608040000000</v>
      </c>
      <c r="G94" t="s">
        <v>25</v>
      </c>
      <c r="H94" s="3">
        <v>55643</v>
      </c>
      <c r="I94" s="3">
        <v>78755</v>
      </c>
      <c r="J94" s="3">
        <v>62154</v>
      </c>
      <c r="K94" s="3">
        <v>0</v>
      </c>
      <c r="L94" s="3">
        <v>43</v>
      </c>
      <c r="M94" s="3">
        <v>185111</v>
      </c>
      <c r="N94" s="3">
        <v>9686</v>
      </c>
      <c r="O94" s="3">
        <v>28</v>
      </c>
      <c r="P94" s="3">
        <v>78805</v>
      </c>
      <c r="Q94" s="3">
        <f t="shared" si="1"/>
        <v>470225</v>
      </c>
    </row>
    <row r="95" spans="1:17" x14ac:dyDescent="0.2">
      <c r="A95" t="s">
        <v>50</v>
      </c>
      <c r="B95" t="s">
        <v>51</v>
      </c>
      <c r="C95" t="s">
        <v>52</v>
      </c>
      <c r="D95" s="2">
        <v>1445280000000</v>
      </c>
      <c r="E95" t="s">
        <v>53</v>
      </c>
      <c r="F95" s="2">
        <v>1615870000000</v>
      </c>
      <c r="G95" t="s">
        <v>54</v>
      </c>
      <c r="H95" s="3">
        <v>55319</v>
      </c>
      <c r="I95" s="3">
        <v>128766</v>
      </c>
      <c r="J95" s="3">
        <v>23222</v>
      </c>
      <c r="K95" s="3">
        <v>0</v>
      </c>
      <c r="L95" s="3">
        <v>0</v>
      </c>
      <c r="M95" s="3">
        <v>0</v>
      </c>
      <c r="N95" s="3">
        <v>1632</v>
      </c>
      <c r="O95" s="3">
        <v>0</v>
      </c>
      <c r="P95" s="3">
        <v>210482</v>
      </c>
      <c r="Q95" s="3">
        <f t="shared" si="1"/>
        <v>419421</v>
      </c>
    </row>
    <row r="96" spans="1:17" x14ac:dyDescent="0.2">
      <c r="A96" t="s">
        <v>227</v>
      </c>
      <c r="B96" t="s">
        <v>228</v>
      </c>
      <c r="C96" t="s">
        <v>229</v>
      </c>
      <c r="D96" s="2">
        <v>1436390000000</v>
      </c>
      <c r="E96" t="s">
        <v>230</v>
      </c>
      <c r="F96" s="2">
        <v>1619820000000</v>
      </c>
      <c r="G96" t="s">
        <v>68</v>
      </c>
      <c r="H96" s="3">
        <v>55050</v>
      </c>
      <c r="I96" s="3">
        <v>434241</v>
      </c>
      <c r="J96" s="3">
        <v>378700</v>
      </c>
      <c r="K96" s="3">
        <v>0</v>
      </c>
      <c r="L96" s="3">
        <v>16703</v>
      </c>
      <c r="M96" s="3">
        <v>867273</v>
      </c>
      <c r="N96" s="3">
        <v>23856</v>
      </c>
      <c r="O96" s="3">
        <v>0</v>
      </c>
      <c r="P96" s="3">
        <v>609398</v>
      </c>
      <c r="Q96" s="3">
        <f t="shared" si="1"/>
        <v>2385221</v>
      </c>
    </row>
    <row r="97" spans="1:17" x14ac:dyDescent="0.2">
      <c r="A97" t="s">
        <v>235</v>
      </c>
      <c r="B97" t="s">
        <v>236</v>
      </c>
      <c r="C97" t="s">
        <v>237</v>
      </c>
      <c r="D97" s="2">
        <v>1468540000000</v>
      </c>
      <c r="E97" t="s">
        <v>238</v>
      </c>
      <c r="F97" s="2">
        <v>1608200000000</v>
      </c>
      <c r="G97" t="s">
        <v>68</v>
      </c>
      <c r="H97" s="3">
        <v>54626</v>
      </c>
      <c r="I97" s="3">
        <v>121689</v>
      </c>
      <c r="J97" s="3">
        <v>112650</v>
      </c>
      <c r="K97" s="3">
        <v>0</v>
      </c>
      <c r="L97" s="3">
        <v>1045</v>
      </c>
      <c r="M97" s="3">
        <v>334534</v>
      </c>
      <c r="N97" s="3">
        <v>4994</v>
      </c>
      <c r="O97" s="3">
        <v>0</v>
      </c>
      <c r="P97" s="3">
        <v>121693</v>
      </c>
      <c r="Q97" s="3">
        <f t="shared" si="1"/>
        <v>751231</v>
      </c>
    </row>
    <row r="98" spans="1:17" x14ac:dyDescent="0.2">
      <c r="A98" t="s">
        <v>119</v>
      </c>
      <c r="B98" t="s">
        <v>120</v>
      </c>
      <c r="C98" t="s">
        <v>121</v>
      </c>
      <c r="D98" s="2">
        <v>1531920000000</v>
      </c>
      <c r="E98" t="s">
        <v>122</v>
      </c>
      <c r="F98" s="2">
        <v>1608250000000</v>
      </c>
      <c r="G98" t="s">
        <v>89</v>
      </c>
      <c r="H98" s="3">
        <v>53726</v>
      </c>
      <c r="I98" s="3">
        <v>59950</v>
      </c>
      <c r="J98" s="3">
        <v>60749</v>
      </c>
      <c r="K98" s="3">
        <v>0</v>
      </c>
      <c r="L98" s="3">
        <v>145</v>
      </c>
      <c r="M98" s="3">
        <v>188646</v>
      </c>
      <c r="N98" s="3">
        <v>0</v>
      </c>
      <c r="O98" s="3">
        <v>119</v>
      </c>
      <c r="P98" s="3">
        <v>74824</v>
      </c>
      <c r="Q98" s="3">
        <f t="shared" si="1"/>
        <v>438159</v>
      </c>
    </row>
    <row r="99" spans="1:17" x14ac:dyDescent="0.2">
      <c r="A99" t="s">
        <v>289</v>
      </c>
      <c r="B99" t="s">
        <v>290</v>
      </c>
      <c r="C99" t="s">
        <v>291</v>
      </c>
      <c r="D99" s="2">
        <v>1510940000000</v>
      </c>
      <c r="E99" t="s">
        <v>292</v>
      </c>
      <c r="F99" s="2">
        <v>1619550000000</v>
      </c>
      <c r="G99" t="s">
        <v>293</v>
      </c>
      <c r="H99" s="3">
        <v>50219</v>
      </c>
      <c r="I99" s="3">
        <v>407072</v>
      </c>
      <c r="J99" s="3">
        <v>265485</v>
      </c>
      <c r="K99" s="3">
        <v>5135</v>
      </c>
      <c r="L99" s="3">
        <v>4194</v>
      </c>
      <c r="M99" s="3">
        <v>1162601</v>
      </c>
      <c r="N99" s="3">
        <v>166462</v>
      </c>
      <c r="O99" s="3">
        <v>0</v>
      </c>
      <c r="P99" s="3">
        <v>409315</v>
      </c>
      <c r="Q99" s="3">
        <f t="shared" si="1"/>
        <v>2470483</v>
      </c>
    </row>
    <row r="100" spans="1:17" x14ac:dyDescent="0.2">
      <c r="A100" t="s">
        <v>340</v>
      </c>
      <c r="B100" t="s">
        <v>341</v>
      </c>
      <c r="C100" t="s">
        <v>342</v>
      </c>
      <c r="D100" s="2">
        <v>1525110000000</v>
      </c>
      <c r="E100" t="s">
        <v>343</v>
      </c>
      <c r="F100" s="2">
        <v>1611720000000</v>
      </c>
      <c r="G100" t="s">
        <v>344</v>
      </c>
      <c r="H100" s="3">
        <v>48901</v>
      </c>
      <c r="I100" s="3">
        <v>938013</v>
      </c>
      <c r="J100" s="3">
        <v>1074584</v>
      </c>
      <c r="K100" s="3">
        <v>20292</v>
      </c>
      <c r="L100" s="3">
        <v>18027</v>
      </c>
      <c r="M100" s="3">
        <v>1763674</v>
      </c>
      <c r="N100" s="3">
        <v>4643</v>
      </c>
      <c r="O100" s="3">
        <v>0</v>
      </c>
      <c r="P100" s="3">
        <v>41554</v>
      </c>
      <c r="Q100" s="3">
        <f t="shared" si="1"/>
        <v>3909688</v>
      </c>
    </row>
    <row r="101" spans="1:17" x14ac:dyDescent="0.2">
      <c r="A101" t="s">
        <v>808</v>
      </c>
      <c r="B101" t="s">
        <v>809</v>
      </c>
      <c r="C101" t="s">
        <v>810</v>
      </c>
      <c r="D101" s="2">
        <v>1575580000000</v>
      </c>
      <c r="E101" t="s">
        <v>811</v>
      </c>
      <c r="F101" s="2">
        <v>1619810000000</v>
      </c>
      <c r="G101" t="s">
        <v>59</v>
      </c>
      <c r="H101" s="3">
        <v>48868</v>
      </c>
      <c r="I101" s="3">
        <v>218642</v>
      </c>
      <c r="J101" s="3">
        <v>8480</v>
      </c>
      <c r="K101" s="3">
        <v>0</v>
      </c>
      <c r="L101" s="3">
        <v>0</v>
      </c>
      <c r="M101" s="3">
        <v>0</v>
      </c>
      <c r="N101" s="3">
        <v>203</v>
      </c>
      <c r="O101" s="3">
        <v>0</v>
      </c>
      <c r="P101" s="3">
        <v>351210</v>
      </c>
      <c r="Q101" s="3">
        <f t="shared" si="1"/>
        <v>627403</v>
      </c>
    </row>
    <row r="102" spans="1:17" x14ac:dyDescent="0.2">
      <c r="A102" t="s">
        <v>466</v>
      </c>
      <c r="B102" t="s">
        <v>467</v>
      </c>
      <c r="C102" t="s">
        <v>468</v>
      </c>
      <c r="D102" s="2">
        <v>1400270000000</v>
      </c>
      <c r="E102" t="s">
        <v>469</v>
      </c>
      <c r="F102" s="2">
        <v>1611720000000</v>
      </c>
      <c r="G102" t="s">
        <v>68</v>
      </c>
      <c r="H102" s="3">
        <v>46734</v>
      </c>
      <c r="I102" s="3">
        <v>187593</v>
      </c>
      <c r="J102" s="3">
        <v>162218</v>
      </c>
      <c r="K102" s="3">
        <v>0</v>
      </c>
      <c r="L102" s="3">
        <v>704</v>
      </c>
      <c r="M102" s="3">
        <v>523282</v>
      </c>
      <c r="N102" s="3">
        <v>7644</v>
      </c>
      <c r="O102" s="3">
        <v>0</v>
      </c>
      <c r="P102" s="3">
        <v>188789</v>
      </c>
      <c r="Q102" s="3">
        <f t="shared" si="1"/>
        <v>1116964</v>
      </c>
    </row>
    <row r="103" spans="1:17" x14ac:dyDescent="0.2">
      <c r="A103" t="s">
        <v>243</v>
      </c>
      <c r="B103" t="s">
        <v>244</v>
      </c>
      <c r="C103" t="s">
        <v>245</v>
      </c>
      <c r="D103" s="2">
        <v>1523560000000</v>
      </c>
      <c r="E103" t="s">
        <v>246</v>
      </c>
      <c r="F103" s="2">
        <v>1619290000000</v>
      </c>
      <c r="G103" t="s">
        <v>247</v>
      </c>
      <c r="H103" s="3">
        <v>46719</v>
      </c>
      <c r="I103" s="3">
        <v>80193</v>
      </c>
      <c r="J103" s="3">
        <v>54605</v>
      </c>
      <c r="K103" s="3">
        <v>0</v>
      </c>
      <c r="L103" s="3">
        <v>85</v>
      </c>
      <c r="M103" s="3">
        <v>141151</v>
      </c>
      <c r="N103" s="3">
        <v>7026</v>
      </c>
      <c r="O103" s="3">
        <v>0</v>
      </c>
      <c r="P103" s="3">
        <v>80195</v>
      </c>
      <c r="Q103" s="3">
        <f t="shared" si="1"/>
        <v>409974</v>
      </c>
    </row>
    <row r="104" spans="1:17" x14ac:dyDescent="0.2">
      <c r="A104" t="s">
        <v>413</v>
      </c>
      <c r="B104" t="s">
        <v>414</v>
      </c>
      <c r="C104" t="s">
        <v>415</v>
      </c>
      <c r="D104" s="2">
        <v>1480510000000</v>
      </c>
      <c r="E104" t="s">
        <v>416</v>
      </c>
      <c r="F104" s="2">
        <v>1614710000000</v>
      </c>
      <c r="G104" t="s">
        <v>49</v>
      </c>
      <c r="H104" s="3">
        <v>45471</v>
      </c>
      <c r="I104" s="3">
        <v>66587</v>
      </c>
      <c r="J104" s="3">
        <v>57950</v>
      </c>
      <c r="K104" s="3">
        <v>0</v>
      </c>
      <c r="L104" s="3">
        <v>33</v>
      </c>
      <c r="M104" s="3">
        <v>105658</v>
      </c>
      <c r="N104" s="3">
        <v>3179</v>
      </c>
      <c r="O104" s="3">
        <v>0</v>
      </c>
      <c r="P104" s="3">
        <v>66506</v>
      </c>
      <c r="Q104" s="3">
        <f t="shared" si="1"/>
        <v>345384</v>
      </c>
    </row>
    <row r="105" spans="1:17" x14ac:dyDescent="0.2">
      <c r="A105" t="s">
        <v>199</v>
      </c>
      <c r="B105" t="s">
        <v>200</v>
      </c>
      <c r="C105" t="s">
        <v>201</v>
      </c>
      <c r="D105" s="2">
        <v>1480560000000</v>
      </c>
      <c r="E105" t="s">
        <v>202</v>
      </c>
      <c r="F105" s="2">
        <v>1617390000000</v>
      </c>
      <c r="G105" t="s">
        <v>203</v>
      </c>
      <c r="H105" s="3">
        <v>44237</v>
      </c>
      <c r="I105" s="3">
        <v>58029</v>
      </c>
      <c r="J105" s="3">
        <v>188023</v>
      </c>
      <c r="K105" s="3">
        <v>0</v>
      </c>
      <c r="L105" s="3">
        <v>198</v>
      </c>
      <c r="M105" s="3">
        <v>318964</v>
      </c>
      <c r="N105" s="3">
        <v>22759</v>
      </c>
      <c r="O105" s="3">
        <v>0</v>
      </c>
      <c r="P105" s="3">
        <v>61280</v>
      </c>
      <c r="Q105" s="3">
        <f t="shared" si="1"/>
        <v>693490</v>
      </c>
    </row>
    <row r="106" spans="1:17" x14ac:dyDescent="0.2">
      <c r="A106" t="s">
        <v>498</v>
      </c>
      <c r="B106" t="s">
        <v>499</v>
      </c>
      <c r="C106" t="s">
        <v>500</v>
      </c>
      <c r="D106" s="2">
        <v>1426550000000</v>
      </c>
      <c r="E106" t="s">
        <v>501</v>
      </c>
      <c r="F106" s="2">
        <v>1619060000000</v>
      </c>
      <c r="G106" t="s">
        <v>185</v>
      </c>
      <c r="H106" s="3">
        <v>44232</v>
      </c>
      <c r="I106" s="3">
        <v>129847</v>
      </c>
      <c r="J106" s="3">
        <v>99976</v>
      </c>
      <c r="K106" s="3">
        <v>0</v>
      </c>
      <c r="L106" s="3">
        <v>28</v>
      </c>
      <c r="M106" s="3">
        <v>282307</v>
      </c>
      <c r="N106" s="3">
        <v>7870</v>
      </c>
      <c r="O106" s="3">
        <v>0</v>
      </c>
      <c r="P106" s="3">
        <v>173905</v>
      </c>
      <c r="Q106" s="3">
        <f t="shared" si="1"/>
        <v>738165</v>
      </c>
    </row>
    <row r="107" spans="1:17" x14ac:dyDescent="0.2">
      <c r="A107" t="s">
        <v>397</v>
      </c>
      <c r="B107" t="s">
        <v>398</v>
      </c>
      <c r="C107" t="s">
        <v>399</v>
      </c>
      <c r="D107" s="2">
        <v>1366660000000</v>
      </c>
      <c r="E107" t="s">
        <v>400</v>
      </c>
      <c r="F107" s="2">
        <v>1608210000000</v>
      </c>
      <c r="G107" t="s">
        <v>68</v>
      </c>
      <c r="H107" s="3">
        <v>43630</v>
      </c>
      <c r="I107" s="3">
        <v>70533</v>
      </c>
      <c r="J107" s="3">
        <v>46177</v>
      </c>
      <c r="K107" s="3">
        <v>0</v>
      </c>
      <c r="L107" s="3">
        <v>0</v>
      </c>
      <c r="M107" s="3">
        <v>101346</v>
      </c>
      <c r="N107" s="3">
        <v>6347</v>
      </c>
      <c r="O107" s="3">
        <v>0</v>
      </c>
      <c r="P107" s="3">
        <v>71438</v>
      </c>
      <c r="Q107" s="3">
        <f t="shared" si="1"/>
        <v>339471</v>
      </c>
    </row>
    <row r="108" spans="1:17" x14ac:dyDescent="0.2">
      <c r="A108" t="s">
        <v>231</v>
      </c>
      <c r="B108" t="s">
        <v>232</v>
      </c>
      <c r="C108" t="s">
        <v>233</v>
      </c>
      <c r="D108" s="2">
        <v>1445280000000</v>
      </c>
      <c r="E108" t="s">
        <v>234</v>
      </c>
      <c r="F108" s="2">
        <v>1613060000000</v>
      </c>
      <c r="G108" t="s">
        <v>185</v>
      </c>
      <c r="H108" s="3">
        <v>43280</v>
      </c>
      <c r="I108" s="3">
        <v>81331</v>
      </c>
      <c r="J108" s="3">
        <v>85342</v>
      </c>
      <c r="K108" s="3">
        <v>0</v>
      </c>
      <c r="L108" s="3">
        <v>12</v>
      </c>
      <c r="M108" s="3">
        <v>47501</v>
      </c>
      <c r="N108" s="3">
        <v>9063</v>
      </c>
      <c r="O108" s="3">
        <v>0</v>
      </c>
      <c r="P108" s="3">
        <v>184431</v>
      </c>
      <c r="Q108" s="3">
        <f t="shared" si="1"/>
        <v>450960</v>
      </c>
    </row>
    <row r="109" spans="1:17" x14ac:dyDescent="0.2">
      <c r="A109" t="s">
        <v>36</v>
      </c>
      <c r="B109" t="s">
        <v>37</v>
      </c>
      <c r="C109" t="s">
        <v>38</v>
      </c>
      <c r="D109" s="2">
        <v>1471610000000</v>
      </c>
      <c r="E109" t="s">
        <v>39</v>
      </c>
      <c r="F109" s="2">
        <v>1611780000000</v>
      </c>
      <c r="G109" t="s">
        <v>40</v>
      </c>
      <c r="H109" s="3">
        <v>41792</v>
      </c>
      <c r="I109" s="3">
        <v>419178</v>
      </c>
      <c r="J109" s="3">
        <v>9855</v>
      </c>
      <c r="K109" s="3">
        <v>0</v>
      </c>
      <c r="L109" s="3">
        <v>13</v>
      </c>
      <c r="M109" s="3">
        <v>24816</v>
      </c>
      <c r="N109" s="3">
        <v>1437</v>
      </c>
      <c r="O109" s="3">
        <v>15</v>
      </c>
      <c r="P109" s="3">
        <v>474085</v>
      </c>
      <c r="Q109" s="3">
        <f t="shared" si="1"/>
        <v>971191</v>
      </c>
    </row>
    <row r="110" spans="1:17" x14ac:dyDescent="0.2">
      <c r="A110" t="s">
        <v>621</v>
      </c>
      <c r="B110" t="s">
        <v>622</v>
      </c>
      <c r="C110" t="s">
        <v>623</v>
      </c>
      <c r="D110" s="2">
        <v>1556800000000</v>
      </c>
      <c r="E110" t="s">
        <v>624</v>
      </c>
      <c r="F110" s="2">
        <v>1619890000000</v>
      </c>
      <c r="G110" t="s">
        <v>89</v>
      </c>
      <c r="H110" s="3">
        <v>40484</v>
      </c>
      <c r="I110" s="3">
        <v>36511</v>
      </c>
      <c r="J110" s="3">
        <v>17091</v>
      </c>
      <c r="K110" s="3">
        <v>0</v>
      </c>
      <c r="L110" s="3">
        <v>11</v>
      </c>
      <c r="M110" s="3">
        <v>43542</v>
      </c>
      <c r="N110" s="3">
        <v>2021</v>
      </c>
      <c r="O110" s="3">
        <v>0</v>
      </c>
      <c r="P110" s="3">
        <v>55164</v>
      </c>
      <c r="Q110" s="3">
        <f t="shared" si="1"/>
        <v>194824</v>
      </c>
    </row>
    <row r="111" spans="1:17" x14ac:dyDescent="0.2">
      <c r="A111" t="s">
        <v>439</v>
      </c>
      <c r="B111" t="s">
        <v>440</v>
      </c>
      <c r="C111" t="s">
        <v>441</v>
      </c>
      <c r="D111" s="2">
        <v>1470260000000</v>
      </c>
      <c r="E111" t="s">
        <v>442</v>
      </c>
      <c r="F111" s="2">
        <v>1611720000000</v>
      </c>
      <c r="G111" t="s">
        <v>443</v>
      </c>
      <c r="H111" s="3">
        <v>39079</v>
      </c>
      <c r="I111" s="3">
        <v>52433</v>
      </c>
      <c r="J111" s="3">
        <v>88818</v>
      </c>
      <c r="K111" s="3">
        <v>1</v>
      </c>
      <c r="L111" s="3">
        <v>1525</v>
      </c>
      <c r="M111" s="3">
        <v>208012</v>
      </c>
      <c r="N111" s="3">
        <v>23715</v>
      </c>
      <c r="O111" s="3">
        <v>0</v>
      </c>
      <c r="P111" s="3">
        <v>52662</v>
      </c>
      <c r="Q111" s="3">
        <f t="shared" si="1"/>
        <v>466245</v>
      </c>
    </row>
    <row r="112" spans="1:17" x14ac:dyDescent="0.2">
      <c r="A112" t="s">
        <v>325</v>
      </c>
      <c r="B112" t="s">
        <v>326</v>
      </c>
      <c r="C112" t="s">
        <v>327</v>
      </c>
      <c r="D112" s="2">
        <v>1525970000000</v>
      </c>
      <c r="E112" t="s">
        <v>328</v>
      </c>
      <c r="F112" s="2">
        <v>1616010000000</v>
      </c>
      <c r="G112" t="s">
        <v>59</v>
      </c>
      <c r="H112" s="3">
        <v>36232</v>
      </c>
      <c r="I112" s="3">
        <v>137747</v>
      </c>
      <c r="J112" s="3">
        <v>88080</v>
      </c>
      <c r="K112" s="3">
        <v>0</v>
      </c>
      <c r="L112" s="3">
        <v>0</v>
      </c>
      <c r="M112" s="3">
        <v>0</v>
      </c>
      <c r="N112" s="3">
        <v>0</v>
      </c>
      <c r="O112" s="3">
        <v>0</v>
      </c>
      <c r="P112" s="3">
        <v>180495</v>
      </c>
      <c r="Q112" s="3">
        <f t="shared" si="1"/>
        <v>442554</v>
      </c>
    </row>
    <row r="113" spans="1:17" x14ac:dyDescent="0.2">
      <c r="A113" t="s">
        <v>799</v>
      </c>
      <c r="B113" t="s">
        <v>800</v>
      </c>
      <c r="C113" t="s">
        <v>801</v>
      </c>
      <c r="D113" s="2">
        <v>1552680000000</v>
      </c>
      <c r="E113" t="s">
        <v>802</v>
      </c>
      <c r="F113" s="2">
        <v>1611720000000</v>
      </c>
      <c r="G113" t="s">
        <v>94</v>
      </c>
      <c r="H113" s="3">
        <v>35430</v>
      </c>
      <c r="I113" s="3">
        <v>142078</v>
      </c>
      <c r="J113" s="3">
        <v>13610</v>
      </c>
      <c r="K113" s="3">
        <v>0</v>
      </c>
      <c r="L113" s="3">
        <v>0</v>
      </c>
      <c r="M113" s="3">
        <v>0</v>
      </c>
      <c r="N113" s="3">
        <v>294</v>
      </c>
      <c r="O113" s="3">
        <v>2</v>
      </c>
      <c r="P113" s="3">
        <v>251325</v>
      </c>
      <c r="Q113" s="3">
        <f t="shared" si="1"/>
        <v>442739</v>
      </c>
    </row>
    <row r="114" spans="1:17" x14ac:dyDescent="0.2">
      <c r="A114" t="s">
        <v>718</v>
      </c>
      <c r="B114" t="s">
        <v>719</v>
      </c>
      <c r="C114" t="s">
        <v>720</v>
      </c>
      <c r="D114" s="2">
        <v>1553090000000</v>
      </c>
      <c r="E114" t="s">
        <v>721</v>
      </c>
      <c r="F114" s="2">
        <v>1600210000000</v>
      </c>
      <c r="G114" t="s">
        <v>94</v>
      </c>
      <c r="H114" s="3">
        <v>34502</v>
      </c>
      <c r="I114" s="3">
        <v>86120</v>
      </c>
      <c r="J114" s="3">
        <v>773</v>
      </c>
      <c r="K114" s="3">
        <v>0</v>
      </c>
      <c r="L114" s="3">
        <v>0</v>
      </c>
      <c r="M114" s="3">
        <v>0</v>
      </c>
      <c r="N114" s="3">
        <v>25</v>
      </c>
      <c r="O114" s="3">
        <v>0</v>
      </c>
      <c r="P114" s="3">
        <v>124460</v>
      </c>
      <c r="Q114" s="3">
        <f t="shared" si="1"/>
        <v>245880</v>
      </c>
    </row>
    <row r="115" spans="1:17" x14ac:dyDescent="0.2">
      <c r="A115" t="s">
        <v>572</v>
      </c>
      <c r="B115" t="s">
        <v>573</v>
      </c>
      <c r="C115" t="s">
        <v>574</v>
      </c>
      <c r="D115" s="2">
        <v>1535470000000</v>
      </c>
      <c r="E115" t="s">
        <v>575</v>
      </c>
      <c r="F115" s="2">
        <v>1612290000000</v>
      </c>
      <c r="G115" t="s">
        <v>576</v>
      </c>
      <c r="H115" s="3">
        <v>31952</v>
      </c>
      <c r="I115" s="3">
        <v>431492</v>
      </c>
      <c r="J115" s="3">
        <v>102537</v>
      </c>
      <c r="K115" s="3">
        <v>0</v>
      </c>
      <c r="L115" s="3">
        <v>833</v>
      </c>
      <c r="M115" s="3">
        <v>194533</v>
      </c>
      <c r="N115" s="3">
        <v>5348</v>
      </c>
      <c r="O115" s="3">
        <v>0</v>
      </c>
      <c r="P115" s="3">
        <v>429731</v>
      </c>
      <c r="Q115" s="3">
        <f t="shared" si="1"/>
        <v>1196426</v>
      </c>
    </row>
    <row r="116" spans="1:17" x14ac:dyDescent="0.2">
      <c r="A116" t="s">
        <v>825</v>
      </c>
      <c r="B116" t="s">
        <v>826</v>
      </c>
      <c r="C116" t="s">
        <v>827</v>
      </c>
      <c r="D116" s="2">
        <v>1549640000000</v>
      </c>
      <c r="E116" t="s">
        <v>828</v>
      </c>
      <c r="F116" s="2">
        <v>1619550000000</v>
      </c>
      <c r="G116" t="s">
        <v>829</v>
      </c>
      <c r="H116" s="3">
        <v>31796</v>
      </c>
      <c r="I116" s="3">
        <v>6105</v>
      </c>
      <c r="J116" s="3">
        <v>109821</v>
      </c>
      <c r="K116" s="3">
        <v>0</v>
      </c>
      <c r="L116" s="3">
        <v>432</v>
      </c>
      <c r="M116" s="3">
        <v>260468</v>
      </c>
      <c r="N116" s="3">
        <v>17119</v>
      </c>
      <c r="O116" s="3">
        <v>96</v>
      </c>
      <c r="P116" s="3">
        <v>60815</v>
      </c>
      <c r="Q116" s="3">
        <f t="shared" si="1"/>
        <v>486652</v>
      </c>
    </row>
    <row r="117" spans="1:17" x14ac:dyDescent="0.2">
      <c r="A117" t="s">
        <v>173</v>
      </c>
      <c r="B117" t="s">
        <v>174</v>
      </c>
      <c r="C117" t="s">
        <v>175</v>
      </c>
      <c r="D117" s="2">
        <v>1531750000000</v>
      </c>
      <c r="E117" t="s">
        <v>176</v>
      </c>
      <c r="F117" s="2">
        <v>1619110000000</v>
      </c>
      <c r="G117" t="s">
        <v>25</v>
      </c>
      <c r="H117" s="3">
        <v>31772</v>
      </c>
      <c r="I117" s="3">
        <v>57478</v>
      </c>
      <c r="J117" s="3">
        <v>50966</v>
      </c>
      <c r="K117" s="3">
        <v>74677</v>
      </c>
      <c r="L117" s="3">
        <v>246</v>
      </c>
      <c r="M117" s="3">
        <v>132537</v>
      </c>
      <c r="N117" s="3">
        <v>4659</v>
      </c>
      <c r="O117" s="3">
        <v>240</v>
      </c>
      <c r="P117" s="3">
        <v>69085</v>
      </c>
      <c r="Q117" s="3">
        <f t="shared" si="1"/>
        <v>421660</v>
      </c>
    </row>
    <row r="118" spans="1:17" x14ac:dyDescent="0.2">
      <c r="A118" t="s">
        <v>258</v>
      </c>
      <c r="B118" t="s">
        <v>259</v>
      </c>
      <c r="C118" t="s">
        <v>260</v>
      </c>
      <c r="D118" s="2">
        <v>1533910000000</v>
      </c>
      <c r="E118" t="s">
        <v>261</v>
      </c>
      <c r="F118" s="2">
        <v>1619560000000</v>
      </c>
      <c r="G118" t="s">
        <v>25</v>
      </c>
      <c r="H118" s="3">
        <v>31586</v>
      </c>
      <c r="I118" s="3">
        <v>147453</v>
      </c>
      <c r="J118" s="3">
        <v>118672</v>
      </c>
      <c r="K118" s="3">
        <v>0</v>
      </c>
      <c r="L118" s="3">
        <v>413</v>
      </c>
      <c r="M118" s="3">
        <v>301228</v>
      </c>
      <c r="N118" s="3">
        <v>7794</v>
      </c>
      <c r="O118" s="3">
        <v>0</v>
      </c>
      <c r="P118" s="3">
        <v>127103</v>
      </c>
      <c r="Q118" s="3">
        <f t="shared" si="1"/>
        <v>734249</v>
      </c>
    </row>
    <row r="119" spans="1:17" x14ac:dyDescent="0.2">
      <c r="A119" t="s">
        <v>616</v>
      </c>
      <c r="B119" t="s">
        <v>617</v>
      </c>
      <c r="C119" t="s">
        <v>618</v>
      </c>
      <c r="D119" s="2">
        <v>1565810000000</v>
      </c>
      <c r="E119" t="s">
        <v>619</v>
      </c>
      <c r="F119" s="2">
        <v>1619480000000</v>
      </c>
      <c r="G119" t="s">
        <v>620</v>
      </c>
      <c r="H119" s="3">
        <v>30469</v>
      </c>
      <c r="I119" s="3">
        <v>444495</v>
      </c>
      <c r="J119" s="3">
        <v>65119</v>
      </c>
      <c r="K119" s="3">
        <v>0</v>
      </c>
      <c r="L119" s="3">
        <v>2967</v>
      </c>
      <c r="M119" s="3">
        <v>148771</v>
      </c>
      <c r="N119" s="3">
        <v>0</v>
      </c>
      <c r="O119" s="3">
        <v>0</v>
      </c>
      <c r="P119" s="3">
        <v>513212</v>
      </c>
      <c r="Q119" s="3">
        <f t="shared" si="1"/>
        <v>1205033</v>
      </c>
    </row>
    <row r="120" spans="1:17" x14ac:dyDescent="0.2">
      <c r="A120" t="s">
        <v>213</v>
      </c>
      <c r="B120" t="s">
        <v>214</v>
      </c>
      <c r="C120" t="s">
        <v>215</v>
      </c>
      <c r="D120" s="2">
        <v>1519670000000</v>
      </c>
      <c r="E120" t="s">
        <v>216</v>
      </c>
      <c r="F120" s="2">
        <v>1611720000000</v>
      </c>
      <c r="G120" t="s">
        <v>217</v>
      </c>
      <c r="H120" s="3">
        <v>29881</v>
      </c>
      <c r="I120" s="3">
        <v>399408</v>
      </c>
      <c r="J120" s="3">
        <v>226459</v>
      </c>
      <c r="K120" s="3">
        <v>0</v>
      </c>
      <c r="L120" s="3">
        <v>7458</v>
      </c>
      <c r="M120" s="3">
        <v>327082</v>
      </c>
      <c r="N120" s="3">
        <v>79630</v>
      </c>
      <c r="O120" s="3">
        <v>0</v>
      </c>
      <c r="P120" s="3">
        <v>103517</v>
      </c>
      <c r="Q120" s="3">
        <f t="shared" si="1"/>
        <v>1173435</v>
      </c>
    </row>
    <row r="121" spans="1:17" x14ac:dyDescent="0.2">
      <c r="A121" t="s">
        <v>222</v>
      </c>
      <c r="B121" t="s">
        <v>223</v>
      </c>
      <c r="C121" t="s">
        <v>224</v>
      </c>
      <c r="D121" s="2">
        <v>1437530000000</v>
      </c>
      <c r="E121" t="s">
        <v>225</v>
      </c>
      <c r="F121" s="2">
        <v>1616010000000</v>
      </c>
      <c r="G121" t="s">
        <v>226</v>
      </c>
      <c r="H121" s="3">
        <v>28999</v>
      </c>
      <c r="I121" s="3">
        <v>159372</v>
      </c>
      <c r="J121" s="3">
        <v>142443</v>
      </c>
      <c r="K121" s="3">
        <v>0</v>
      </c>
      <c r="L121" s="3">
        <v>937</v>
      </c>
      <c r="M121" s="3">
        <v>363852</v>
      </c>
      <c r="N121" s="3">
        <v>69972</v>
      </c>
      <c r="O121" s="3">
        <v>0</v>
      </c>
      <c r="P121" s="3">
        <v>208174</v>
      </c>
      <c r="Q121" s="3">
        <f t="shared" si="1"/>
        <v>973749</v>
      </c>
    </row>
    <row r="122" spans="1:17" x14ac:dyDescent="0.2">
      <c r="A122" t="s">
        <v>612</v>
      </c>
      <c r="B122" t="s">
        <v>613</v>
      </c>
      <c r="C122" t="s">
        <v>614</v>
      </c>
      <c r="D122" s="2">
        <v>1552320000000</v>
      </c>
      <c r="E122" t="s">
        <v>615</v>
      </c>
      <c r="F122" s="2">
        <v>1617640000000</v>
      </c>
      <c r="G122" t="s">
        <v>89</v>
      </c>
      <c r="H122" s="3">
        <v>28079</v>
      </c>
      <c r="I122" s="3">
        <v>58091</v>
      </c>
      <c r="J122" s="3">
        <v>66458</v>
      </c>
      <c r="K122" s="3">
        <v>0</v>
      </c>
      <c r="L122" s="3">
        <v>50</v>
      </c>
      <c r="M122" s="3">
        <v>211675</v>
      </c>
      <c r="N122" s="3">
        <v>7796</v>
      </c>
      <c r="O122" s="3">
        <v>0</v>
      </c>
      <c r="P122" s="3">
        <v>66719</v>
      </c>
      <c r="Q122" s="3">
        <f t="shared" si="1"/>
        <v>438868</v>
      </c>
    </row>
    <row r="123" spans="1:17" x14ac:dyDescent="0.2">
      <c r="A123" t="s">
        <v>430</v>
      </c>
      <c r="B123" t="s">
        <v>431</v>
      </c>
      <c r="C123" t="s">
        <v>432</v>
      </c>
      <c r="D123" s="2">
        <v>1513710000000</v>
      </c>
      <c r="E123" t="s">
        <v>433</v>
      </c>
      <c r="F123" s="2">
        <v>1619300000000</v>
      </c>
      <c r="G123" t="s">
        <v>434</v>
      </c>
      <c r="H123" s="3">
        <v>25436</v>
      </c>
      <c r="I123" s="3">
        <v>45510</v>
      </c>
      <c r="J123" s="3">
        <v>85545</v>
      </c>
      <c r="K123" s="3">
        <v>0</v>
      </c>
      <c r="L123" s="3">
        <v>258</v>
      </c>
      <c r="M123" s="3">
        <v>183183</v>
      </c>
      <c r="N123" s="3">
        <v>33156</v>
      </c>
      <c r="O123" s="3">
        <v>0</v>
      </c>
      <c r="P123" s="3">
        <v>48824</v>
      </c>
      <c r="Q123" s="3">
        <f t="shared" si="1"/>
        <v>421912</v>
      </c>
    </row>
    <row r="124" spans="1:17" x14ac:dyDescent="0.2">
      <c r="A124" t="s">
        <v>604</v>
      </c>
      <c r="B124" t="s">
        <v>605</v>
      </c>
      <c r="C124" t="s">
        <v>606</v>
      </c>
      <c r="D124" s="2">
        <v>1540930000000</v>
      </c>
      <c r="E124" t="s">
        <v>607</v>
      </c>
      <c r="F124" s="2">
        <v>1613620000000</v>
      </c>
      <c r="G124" t="s">
        <v>59</v>
      </c>
      <c r="H124" s="3">
        <v>24793</v>
      </c>
      <c r="I124" s="3">
        <v>363104</v>
      </c>
      <c r="J124" s="3">
        <v>24495</v>
      </c>
      <c r="K124" s="3">
        <v>0</v>
      </c>
      <c r="L124" s="3">
        <v>11</v>
      </c>
      <c r="M124" s="3">
        <v>21072</v>
      </c>
      <c r="N124" s="3">
        <v>1108</v>
      </c>
      <c r="O124" s="3">
        <v>0</v>
      </c>
      <c r="P124" s="3">
        <v>428173</v>
      </c>
      <c r="Q124" s="3">
        <f t="shared" si="1"/>
        <v>862756</v>
      </c>
    </row>
    <row r="125" spans="1:17" x14ac:dyDescent="0.2">
      <c r="A125" t="s">
        <v>444</v>
      </c>
      <c r="B125" t="s">
        <v>445</v>
      </c>
      <c r="C125" t="s">
        <v>446</v>
      </c>
      <c r="D125" s="2">
        <v>1497230000000</v>
      </c>
      <c r="E125" t="s">
        <v>447</v>
      </c>
      <c r="F125" s="2">
        <v>1619480000000</v>
      </c>
      <c r="G125" t="s">
        <v>448</v>
      </c>
      <c r="H125" s="3">
        <v>24625</v>
      </c>
      <c r="I125" s="3">
        <v>35117</v>
      </c>
      <c r="J125" s="3">
        <v>22258</v>
      </c>
      <c r="K125" s="3">
        <v>1</v>
      </c>
      <c r="L125" s="3">
        <v>37</v>
      </c>
      <c r="M125" s="3">
        <v>64667</v>
      </c>
      <c r="N125" s="3">
        <v>5151</v>
      </c>
      <c r="O125" s="3">
        <v>0</v>
      </c>
      <c r="P125" s="3">
        <v>126794</v>
      </c>
      <c r="Q125" s="3">
        <f t="shared" si="1"/>
        <v>278650</v>
      </c>
    </row>
    <row r="126" spans="1:17" x14ac:dyDescent="0.2">
      <c r="A126" t="s">
        <v>515</v>
      </c>
      <c r="B126" t="s">
        <v>516</v>
      </c>
      <c r="C126" t="s">
        <v>517</v>
      </c>
      <c r="D126" s="2">
        <v>1480620000000</v>
      </c>
      <c r="E126" t="s">
        <v>518</v>
      </c>
      <c r="F126" s="2">
        <v>1619190000000</v>
      </c>
      <c r="G126" t="s">
        <v>519</v>
      </c>
      <c r="H126" s="3">
        <v>23328</v>
      </c>
      <c r="I126" s="3">
        <v>98288</v>
      </c>
      <c r="J126" s="3">
        <v>15310</v>
      </c>
      <c r="K126" s="3">
        <v>0</v>
      </c>
      <c r="L126" s="3">
        <v>316</v>
      </c>
      <c r="M126" s="3">
        <v>40385</v>
      </c>
      <c r="N126" s="3">
        <v>2750</v>
      </c>
      <c r="O126" s="3">
        <v>0</v>
      </c>
      <c r="P126" s="3">
        <v>134320</v>
      </c>
      <c r="Q126" s="3">
        <f t="shared" si="1"/>
        <v>314697</v>
      </c>
    </row>
    <row r="127" spans="1:17" x14ac:dyDescent="0.2">
      <c r="A127" t="s">
        <v>709</v>
      </c>
      <c r="B127" t="s">
        <v>710</v>
      </c>
      <c r="C127" t="s">
        <v>711</v>
      </c>
      <c r="D127" s="2">
        <v>1557150000000</v>
      </c>
      <c r="E127" t="s">
        <v>712</v>
      </c>
      <c r="F127" s="2">
        <v>1617200000000</v>
      </c>
      <c r="G127" t="s">
        <v>713</v>
      </c>
      <c r="H127" s="3">
        <v>21072</v>
      </c>
      <c r="I127" s="3">
        <v>218851</v>
      </c>
      <c r="J127" s="3">
        <v>127589</v>
      </c>
      <c r="K127" s="3">
        <v>0</v>
      </c>
      <c r="L127" s="3">
        <v>1416</v>
      </c>
      <c r="M127" s="3">
        <v>233257</v>
      </c>
      <c r="N127" s="3">
        <v>0</v>
      </c>
      <c r="O127" s="3">
        <v>0</v>
      </c>
      <c r="P127" s="3">
        <v>0</v>
      </c>
      <c r="Q127" s="3">
        <f t="shared" si="1"/>
        <v>602185</v>
      </c>
    </row>
    <row r="128" spans="1:17" x14ac:dyDescent="0.2">
      <c r="A128" t="s">
        <v>554</v>
      </c>
      <c r="B128" t="s">
        <v>555</v>
      </c>
      <c r="C128" t="s">
        <v>556</v>
      </c>
      <c r="D128" s="2">
        <v>1465820000000</v>
      </c>
      <c r="E128" t="s">
        <v>557</v>
      </c>
      <c r="F128" s="2">
        <v>1608210000000</v>
      </c>
      <c r="G128" t="s">
        <v>68</v>
      </c>
      <c r="H128" s="3">
        <v>20858</v>
      </c>
      <c r="I128" s="3">
        <v>67969</v>
      </c>
      <c r="J128" s="3">
        <v>62174</v>
      </c>
      <c r="K128" s="3">
        <v>0</v>
      </c>
      <c r="L128" s="3">
        <v>176</v>
      </c>
      <c r="M128" s="3">
        <v>221720</v>
      </c>
      <c r="N128" s="3">
        <v>2875</v>
      </c>
      <c r="O128" s="3">
        <v>0</v>
      </c>
      <c r="P128" s="3">
        <v>67975</v>
      </c>
      <c r="Q128" s="3">
        <f t="shared" si="1"/>
        <v>443747</v>
      </c>
    </row>
    <row r="129" spans="1:17" x14ac:dyDescent="0.2">
      <c r="A129" t="s">
        <v>285</v>
      </c>
      <c r="B129" t="s">
        <v>286</v>
      </c>
      <c r="C129" t="s">
        <v>287</v>
      </c>
      <c r="D129" s="2">
        <v>1501090000000</v>
      </c>
      <c r="E129" t="s">
        <v>288</v>
      </c>
      <c r="F129" s="2">
        <v>1616190000000</v>
      </c>
      <c r="G129" t="s">
        <v>89</v>
      </c>
      <c r="H129" s="3">
        <v>18573</v>
      </c>
      <c r="I129" s="3">
        <v>29711</v>
      </c>
      <c r="J129" s="3">
        <v>28010</v>
      </c>
      <c r="K129" s="3">
        <v>0</v>
      </c>
      <c r="L129" s="3">
        <v>433</v>
      </c>
      <c r="M129" s="3">
        <v>67588</v>
      </c>
      <c r="N129" s="3">
        <v>3588</v>
      </c>
      <c r="O129" s="3">
        <v>0</v>
      </c>
      <c r="P129" s="3">
        <v>29711</v>
      </c>
      <c r="Q129" s="3">
        <f t="shared" si="1"/>
        <v>177614</v>
      </c>
    </row>
    <row r="130" spans="1:17" x14ac:dyDescent="0.2">
      <c r="A130" t="s">
        <v>45</v>
      </c>
      <c r="B130" t="s">
        <v>46</v>
      </c>
      <c r="C130" t="s">
        <v>47</v>
      </c>
      <c r="D130" s="2">
        <v>1506020000000</v>
      </c>
      <c r="E130" t="s">
        <v>48</v>
      </c>
      <c r="F130" s="2">
        <v>1609780000000</v>
      </c>
      <c r="G130" t="s">
        <v>49</v>
      </c>
      <c r="H130" s="3">
        <v>15987</v>
      </c>
      <c r="I130" s="3">
        <v>18134</v>
      </c>
      <c r="J130" s="3">
        <v>17549</v>
      </c>
      <c r="K130" s="3">
        <v>0</v>
      </c>
      <c r="L130" s="3">
        <v>19</v>
      </c>
      <c r="M130" s="3">
        <v>30969</v>
      </c>
      <c r="N130" s="3">
        <v>730</v>
      </c>
      <c r="O130" s="3">
        <v>23</v>
      </c>
      <c r="P130" s="3">
        <v>18134</v>
      </c>
      <c r="Q130" s="3">
        <f t="shared" si="1"/>
        <v>101545</v>
      </c>
    </row>
    <row r="131" spans="1:17" x14ac:dyDescent="0.2">
      <c r="A131" t="s">
        <v>647</v>
      </c>
      <c r="B131" t="s">
        <v>648</v>
      </c>
      <c r="C131" t="s">
        <v>649</v>
      </c>
      <c r="D131" s="2">
        <v>1579210000000</v>
      </c>
      <c r="E131" t="s">
        <v>650</v>
      </c>
      <c r="F131" s="2">
        <v>1619710000000</v>
      </c>
      <c r="G131" t="s">
        <v>94</v>
      </c>
      <c r="H131" s="3">
        <v>14308</v>
      </c>
      <c r="I131" s="3">
        <v>77430</v>
      </c>
      <c r="J131" s="3">
        <v>2</v>
      </c>
      <c r="K131" s="3">
        <v>0</v>
      </c>
      <c r="L131" s="3">
        <v>0</v>
      </c>
      <c r="M131" s="3">
        <v>0</v>
      </c>
      <c r="N131" s="3">
        <v>0</v>
      </c>
      <c r="O131" s="3">
        <v>0</v>
      </c>
      <c r="P131" s="3">
        <v>121807</v>
      </c>
      <c r="Q131" s="3">
        <f t="shared" ref="Q131:Q193" si="2">SUM(H131:P131)</f>
        <v>213547</v>
      </c>
    </row>
    <row r="132" spans="1:17" x14ac:dyDescent="0.2">
      <c r="A132" t="s">
        <v>370</v>
      </c>
      <c r="B132" t="s">
        <v>371</v>
      </c>
      <c r="C132" t="s">
        <v>372</v>
      </c>
      <c r="D132" s="2">
        <v>1471360000000</v>
      </c>
      <c r="E132" t="s">
        <v>373</v>
      </c>
      <c r="F132" s="2">
        <v>1617740000000</v>
      </c>
      <c r="G132" t="s">
        <v>68</v>
      </c>
      <c r="H132" s="3">
        <v>13081</v>
      </c>
      <c r="I132" s="3">
        <v>22363</v>
      </c>
      <c r="J132" s="3">
        <v>10066</v>
      </c>
      <c r="K132" s="3">
        <v>0</v>
      </c>
      <c r="L132" s="3">
        <v>9</v>
      </c>
      <c r="M132" s="3">
        <v>24880</v>
      </c>
      <c r="N132" s="3">
        <v>1428</v>
      </c>
      <c r="O132" s="3">
        <v>0</v>
      </c>
      <c r="P132" s="3">
        <v>22364</v>
      </c>
      <c r="Q132" s="3">
        <f t="shared" si="2"/>
        <v>94191</v>
      </c>
    </row>
    <row r="133" spans="1:17" x14ac:dyDescent="0.2">
      <c r="A133" t="s">
        <v>735</v>
      </c>
      <c r="B133" t="s">
        <v>736</v>
      </c>
      <c r="C133" t="s">
        <v>737</v>
      </c>
      <c r="D133" s="2">
        <v>1573770000000</v>
      </c>
      <c r="E133" t="s">
        <v>738</v>
      </c>
      <c r="F133" s="2">
        <v>1616020000000</v>
      </c>
      <c r="G133" t="s">
        <v>519</v>
      </c>
      <c r="H133" s="3">
        <v>12526</v>
      </c>
      <c r="I133" s="3">
        <v>111674</v>
      </c>
      <c r="J133" s="3">
        <v>2272</v>
      </c>
      <c r="K133" s="3">
        <v>0</v>
      </c>
      <c r="L133" s="3">
        <v>0</v>
      </c>
      <c r="M133" s="3">
        <v>5889</v>
      </c>
      <c r="N133" s="3">
        <v>167</v>
      </c>
      <c r="O133" s="3">
        <v>13</v>
      </c>
      <c r="P133" s="3">
        <v>190903</v>
      </c>
      <c r="Q133" s="3">
        <f t="shared" si="2"/>
        <v>323444</v>
      </c>
    </row>
    <row r="134" spans="1:17" x14ac:dyDescent="0.2">
      <c r="A134" t="s">
        <v>177</v>
      </c>
      <c r="B134" t="s">
        <v>178</v>
      </c>
      <c r="C134" t="s">
        <v>179</v>
      </c>
      <c r="D134" s="2">
        <v>1416520000000</v>
      </c>
      <c r="E134" t="s">
        <v>180</v>
      </c>
      <c r="F134" s="2">
        <v>1608170000000</v>
      </c>
      <c r="G134" t="s">
        <v>54</v>
      </c>
      <c r="H134" s="3">
        <v>12032</v>
      </c>
      <c r="I134" s="3">
        <v>31815</v>
      </c>
      <c r="J134" s="3">
        <v>2857</v>
      </c>
      <c r="K134" s="3">
        <v>80679</v>
      </c>
      <c r="L134" s="3">
        <v>0</v>
      </c>
      <c r="M134" s="3">
        <v>0</v>
      </c>
      <c r="N134" s="3">
        <v>70</v>
      </c>
      <c r="O134" s="3">
        <v>0</v>
      </c>
      <c r="P134" s="3">
        <v>39495</v>
      </c>
      <c r="Q134" s="3">
        <f t="shared" si="2"/>
        <v>166948</v>
      </c>
    </row>
    <row r="135" spans="1:17" x14ac:dyDescent="0.2">
      <c r="A135" t="s">
        <v>131</v>
      </c>
      <c r="B135" t="s">
        <v>132</v>
      </c>
      <c r="C135" t="s">
        <v>133</v>
      </c>
      <c r="D135" s="2">
        <v>1370270000000</v>
      </c>
      <c r="E135" t="s">
        <v>134</v>
      </c>
      <c r="F135" s="2">
        <v>1608040000000</v>
      </c>
      <c r="G135" t="s">
        <v>68</v>
      </c>
      <c r="H135" s="3">
        <v>10355</v>
      </c>
      <c r="I135" s="3">
        <v>16519</v>
      </c>
      <c r="J135" s="3">
        <v>14815</v>
      </c>
      <c r="K135" s="3">
        <v>0</v>
      </c>
      <c r="L135" s="3">
        <v>2</v>
      </c>
      <c r="M135" s="3">
        <v>47026</v>
      </c>
      <c r="N135" s="3">
        <v>2056</v>
      </c>
      <c r="O135" s="3">
        <v>0</v>
      </c>
      <c r="P135" s="3">
        <v>16519</v>
      </c>
      <c r="Q135" s="3">
        <f t="shared" si="2"/>
        <v>107292</v>
      </c>
    </row>
    <row r="136" spans="1:17" x14ac:dyDescent="0.2">
      <c r="A136" t="s">
        <v>766</v>
      </c>
      <c r="B136" t="s">
        <v>767</v>
      </c>
      <c r="C136" t="s">
        <v>768</v>
      </c>
      <c r="D136" s="2">
        <v>1559150000000</v>
      </c>
      <c r="E136" t="s">
        <v>769</v>
      </c>
      <c r="F136" s="2">
        <v>1611090000000</v>
      </c>
      <c r="G136" t="s">
        <v>89</v>
      </c>
      <c r="H136" s="3">
        <v>9153</v>
      </c>
      <c r="I136" s="3">
        <v>15182</v>
      </c>
      <c r="J136" s="3">
        <v>18241</v>
      </c>
      <c r="K136" s="3">
        <v>0</v>
      </c>
      <c r="L136" s="3">
        <v>18</v>
      </c>
      <c r="M136" s="3">
        <v>35350</v>
      </c>
      <c r="N136" s="3">
        <v>13107</v>
      </c>
      <c r="O136" s="3">
        <v>125</v>
      </c>
      <c r="P136" s="3">
        <v>15391</v>
      </c>
      <c r="Q136" s="3">
        <f t="shared" si="2"/>
        <v>106567</v>
      </c>
    </row>
    <row r="137" spans="1:17" x14ac:dyDescent="0.2">
      <c r="A137" t="s">
        <v>163</v>
      </c>
      <c r="B137" t="s">
        <v>164</v>
      </c>
      <c r="C137" t="s">
        <v>165</v>
      </c>
      <c r="D137" s="2">
        <v>1507640000000</v>
      </c>
      <c r="E137" t="s">
        <v>166</v>
      </c>
      <c r="F137" s="2">
        <v>1611720000000</v>
      </c>
      <c r="G137" t="s">
        <v>167</v>
      </c>
      <c r="H137" s="3">
        <v>8652</v>
      </c>
      <c r="I137" s="3">
        <v>12716</v>
      </c>
      <c r="J137" s="3">
        <v>27450</v>
      </c>
      <c r="K137" s="3">
        <v>2860</v>
      </c>
      <c r="L137" s="3">
        <v>1082</v>
      </c>
      <c r="M137" s="3">
        <v>58937</v>
      </c>
      <c r="N137" s="3">
        <v>11489</v>
      </c>
      <c r="O137" s="3">
        <v>0</v>
      </c>
      <c r="P137" s="3">
        <v>21262</v>
      </c>
      <c r="Q137" s="3">
        <f t="shared" si="2"/>
        <v>144448</v>
      </c>
    </row>
    <row r="138" spans="1:17" x14ac:dyDescent="0.2">
      <c r="A138" t="s">
        <v>558</v>
      </c>
      <c r="B138" t="s">
        <v>559</v>
      </c>
      <c r="C138" t="s">
        <v>560</v>
      </c>
      <c r="D138" s="2">
        <v>1471300000000</v>
      </c>
      <c r="E138" t="s">
        <v>561</v>
      </c>
      <c r="F138" s="2">
        <v>1615240000000</v>
      </c>
      <c r="G138" t="s">
        <v>68</v>
      </c>
      <c r="H138" s="3">
        <v>8612</v>
      </c>
      <c r="I138" s="3">
        <v>14948</v>
      </c>
      <c r="J138" s="3">
        <v>9757</v>
      </c>
      <c r="K138" s="3">
        <v>0</v>
      </c>
      <c r="L138" s="3">
        <v>7</v>
      </c>
      <c r="M138" s="3">
        <v>26913</v>
      </c>
      <c r="N138" s="3">
        <v>1103</v>
      </c>
      <c r="O138" s="3">
        <v>0</v>
      </c>
      <c r="P138" s="3">
        <v>15058</v>
      </c>
      <c r="Q138" s="3">
        <f t="shared" si="2"/>
        <v>76398</v>
      </c>
    </row>
    <row r="139" spans="1:17" x14ac:dyDescent="0.2">
      <c r="A139" t="s">
        <v>714</v>
      </c>
      <c r="B139" t="s">
        <v>715</v>
      </c>
      <c r="C139" t="s">
        <v>716</v>
      </c>
      <c r="D139" s="2">
        <v>1563370000000</v>
      </c>
      <c r="E139" t="s">
        <v>717</v>
      </c>
      <c r="F139" s="2">
        <v>1615830000000</v>
      </c>
      <c r="G139" t="s">
        <v>149</v>
      </c>
      <c r="H139" s="3">
        <v>7385</v>
      </c>
      <c r="I139" s="3">
        <v>11556</v>
      </c>
      <c r="J139" s="3">
        <v>35373</v>
      </c>
      <c r="K139" s="3">
        <v>0</v>
      </c>
      <c r="L139" s="3">
        <v>0</v>
      </c>
      <c r="M139" s="3">
        <v>0</v>
      </c>
      <c r="N139" s="3">
        <v>2168</v>
      </c>
      <c r="O139" s="3">
        <v>0</v>
      </c>
      <c r="P139" s="3">
        <v>59072</v>
      </c>
      <c r="Q139" s="3">
        <f t="shared" si="2"/>
        <v>115554</v>
      </c>
    </row>
    <row r="140" spans="1:17" x14ac:dyDescent="0.2">
      <c r="A140" s="1" t="s">
        <v>727</v>
      </c>
      <c r="B140" t="s">
        <v>728</v>
      </c>
      <c r="C140" t="s">
        <v>729</v>
      </c>
      <c r="D140" s="2">
        <v>1581460000000</v>
      </c>
      <c r="E140" t="s">
        <v>730</v>
      </c>
      <c r="F140" s="2">
        <v>1619470000000</v>
      </c>
      <c r="G140" t="s">
        <v>25</v>
      </c>
      <c r="H140" s="3">
        <v>5856</v>
      </c>
      <c r="I140" s="3">
        <v>22407</v>
      </c>
      <c r="J140" s="3">
        <v>14924</v>
      </c>
      <c r="K140" s="3">
        <v>0</v>
      </c>
      <c r="L140" s="3">
        <v>8</v>
      </c>
      <c r="M140" s="3">
        <v>51098</v>
      </c>
      <c r="N140" s="3">
        <v>15200</v>
      </c>
      <c r="O140" s="3">
        <v>971</v>
      </c>
      <c r="P140" s="3">
        <v>23329</v>
      </c>
      <c r="Q140" s="3">
        <f t="shared" si="2"/>
        <v>133793</v>
      </c>
    </row>
    <row r="141" spans="1:17" x14ac:dyDescent="0.2">
      <c r="A141" t="s">
        <v>812</v>
      </c>
      <c r="B141" t="s">
        <v>813</v>
      </c>
      <c r="C141" t="s">
        <v>814</v>
      </c>
      <c r="D141" s="2">
        <v>1577980000000</v>
      </c>
      <c r="E141" t="s">
        <v>815</v>
      </c>
      <c r="F141" s="2">
        <v>1614960000000</v>
      </c>
      <c r="G141" t="s">
        <v>816</v>
      </c>
      <c r="H141" s="3">
        <v>5153</v>
      </c>
      <c r="I141" s="3">
        <v>19616</v>
      </c>
      <c r="J141" s="3">
        <v>78</v>
      </c>
      <c r="K141" s="3">
        <v>0</v>
      </c>
      <c r="L141" s="3">
        <v>0</v>
      </c>
      <c r="M141" s="3">
        <v>0</v>
      </c>
      <c r="N141" s="3">
        <v>0</v>
      </c>
      <c r="O141" s="3">
        <v>55</v>
      </c>
      <c r="P141" s="3">
        <v>42220</v>
      </c>
      <c r="Q141" s="3">
        <f t="shared" si="2"/>
        <v>67122</v>
      </c>
    </row>
    <row r="142" spans="1:17" x14ac:dyDescent="0.2">
      <c r="A142" s="1" t="s">
        <v>743</v>
      </c>
      <c r="B142" t="s">
        <v>744</v>
      </c>
      <c r="C142" t="s">
        <v>745</v>
      </c>
      <c r="D142" s="2">
        <v>1580750000000</v>
      </c>
      <c r="E142" t="s">
        <v>442</v>
      </c>
      <c r="F142" s="2">
        <v>1611720000000</v>
      </c>
      <c r="G142" t="s">
        <v>590</v>
      </c>
      <c r="H142" s="3">
        <v>4803</v>
      </c>
      <c r="I142" s="3">
        <v>31081</v>
      </c>
      <c r="J142" s="3">
        <v>105</v>
      </c>
      <c r="K142" s="3">
        <v>0</v>
      </c>
      <c r="L142" s="3">
        <v>0</v>
      </c>
      <c r="M142" s="3">
        <v>0</v>
      </c>
      <c r="N142" s="3">
        <v>10</v>
      </c>
      <c r="O142" s="3">
        <v>0</v>
      </c>
      <c r="P142" s="3">
        <v>15623</v>
      </c>
      <c r="Q142" s="3">
        <f t="shared" si="2"/>
        <v>51622</v>
      </c>
    </row>
    <row r="143" spans="1:17" x14ac:dyDescent="0.2">
      <c r="A143" t="s">
        <v>642</v>
      </c>
      <c r="B143" t="s">
        <v>643</v>
      </c>
      <c r="C143" t="s">
        <v>644</v>
      </c>
      <c r="D143" s="2">
        <v>1570140000000</v>
      </c>
      <c r="E143" t="s">
        <v>645</v>
      </c>
      <c r="F143" s="2">
        <v>1614960000000</v>
      </c>
      <c r="G143" t="s">
        <v>646</v>
      </c>
      <c r="H143" s="3">
        <v>4763</v>
      </c>
      <c r="I143" s="3">
        <v>69093</v>
      </c>
      <c r="J143" s="3">
        <v>31567</v>
      </c>
      <c r="K143" s="3">
        <v>0</v>
      </c>
      <c r="L143" s="3">
        <v>53</v>
      </c>
      <c r="M143" s="3">
        <v>144209</v>
      </c>
      <c r="N143" s="3">
        <v>29902</v>
      </c>
      <c r="O143" s="3">
        <v>1</v>
      </c>
      <c r="P143" s="3">
        <v>69848</v>
      </c>
      <c r="Q143" s="3">
        <f t="shared" si="2"/>
        <v>349436</v>
      </c>
    </row>
    <row r="144" spans="1:17" x14ac:dyDescent="0.2">
      <c r="A144" t="s">
        <v>474</v>
      </c>
      <c r="B144" t="s">
        <v>475</v>
      </c>
      <c r="C144" t="s">
        <v>476</v>
      </c>
      <c r="D144" s="2">
        <v>1402590000000</v>
      </c>
      <c r="E144" t="s">
        <v>477</v>
      </c>
      <c r="F144" s="2">
        <v>1608040000000</v>
      </c>
      <c r="H144" s="3">
        <v>4344</v>
      </c>
      <c r="I144" s="3">
        <v>4411</v>
      </c>
      <c r="J144" s="3">
        <v>149507</v>
      </c>
      <c r="K144" s="3">
        <v>25</v>
      </c>
      <c r="L144" s="3">
        <v>112</v>
      </c>
      <c r="M144" s="3">
        <v>1171</v>
      </c>
      <c r="N144" s="3">
        <v>4546</v>
      </c>
      <c r="O144" s="3">
        <v>0</v>
      </c>
      <c r="P144" s="3">
        <v>4915</v>
      </c>
      <c r="Q144" s="3">
        <f t="shared" si="2"/>
        <v>169031</v>
      </c>
    </row>
    <row r="145" spans="1:17" x14ac:dyDescent="0.2">
      <c r="A145" t="s">
        <v>722</v>
      </c>
      <c r="B145" t="s">
        <v>723</v>
      </c>
      <c r="C145" t="s">
        <v>724</v>
      </c>
      <c r="D145" s="2">
        <v>1574280000000</v>
      </c>
      <c r="E145" t="s">
        <v>725</v>
      </c>
      <c r="F145" s="2">
        <v>1616020000000</v>
      </c>
      <c r="G145" t="s">
        <v>726</v>
      </c>
      <c r="H145" s="3">
        <v>3825</v>
      </c>
      <c r="I145" s="3">
        <v>10330</v>
      </c>
      <c r="J145" s="3">
        <v>11</v>
      </c>
      <c r="K145" s="3">
        <v>0</v>
      </c>
      <c r="L145" s="3">
        <v>0</v>
      </c>
      <c r="M145" s="3">
        <v>0</v>
      </c>
      <c r="N145" s="3">
        <v>1</v>
      </c>
      <c r="O145" s="3">
        <v>0</v>
      </c>
      <c r="P145" s="3">
        <v>26209</v>
      </c>
      <c r="Q145" s="3">
        <f t="shared" si="2"/>
        <v>40376</v>
      </c>
    </row>
    <row r="146" spans="1:17" x14ac:dyDescent="0.2">
      <c r="A146" t="s">
        <v>454</v>
      </c>
      <c r="B146" t="s">
        <v>455</v>
      </c>
      <c r="C146" t="s">
        <v>456</v>
      </c>
      <c r="D146" s="2">
        <v>1534960000000</v>
      </c>
      <c r="E146" t="s">
        <v>457</v>
      </c>
      <c r="F146" s="2">
        <v>1608040000000</v>
      </c>
      <c r="G146" t="s">
        <v>167</v>
      </c>
      <c r="H146" s="3">
        <v>3739</v>
      </c>
      <c r="I146" s="3">
        <v>4336</v>
      </c>
      <c r="J146" s="3">
        <v>2805</v>
      </c>
      <c r="K146" s="3">
        <v>0</v>
      </c>
      <c r="L146" s="3">
        <v>1</v>
      </c>
      <c r="M146" s="3">
        <v>5309</v>
      </c>
      <c r="N146" s="3">
        <v>348</v>
      </c>
      <c r="O146" s="3">
        <v>0</v>
      </c>
      <c r="P146" s="3">
        <v>4524</v>
      </c>
      <c r="Q146" s="3">
        <f t="shared" si="2"/>
        <v>21062</v>
      </c>
    </row>
    <row r="147" spans="1:17" x14ac:dyDescent="0.2">
      <c r="A147" t="s">
        <v>638</v>
      </c>
      <c r="B147" t="s">
        <v>639</v>
      </c>
      <c r="C147" t="s">
        <v>640</v>
      </c>
      <c r="D147" s="2">
        <v>1564060000000</v>
      </c>
      <c r="E147" t="s">
        <v>641</v>
      </c>
      <c r="F147" s="2">
        <v>1615790000000</v>
      </c>
      <c r="G147" t="s">
        <v>167</v>
      </c>
      <c r="H147" s="3">
        <v>3234</v>
      </c>
      <c r="I147" s="3">
        <v>6665</v>
      </c>
      <c r="J147" s="3">
        <v>6763</v>
      </c>
      <c r="K147" s="3">
        <v>0</v>
      </c>
      <c r="L147" s="3">
        <v>261</v>
      </c>
      <c r="M147" s="3">
        <v>17901</v>
      </c>
      <c r="N147" s="3">
        <v>3495</v>
      </c>
      <c r="O147" s="3">
        <v>0</v>
      </c>
      <c r="P147" s="3">
        <v>8762</v>
      </c>
      <c r="Q147" s="3">
        <f t="shared" si="2"/>
        <v>47081</v>
      </c>
    </row>
    <row r="148" spans="1:17" x14ac:dyDescent="0.2">
      <c r="A148" t="s">
        <v>762</v>
      </c>
      <c r="B148" t="s">
        <v>763</v>
      </c>
      <c r="C148" t="s">
        <v>764</v>
      </c>
      <c r="D148" s="2">
        <v>1554910000000</v>
      </c>
      <c r="E148" t="s">
        <v>765</v>
      </c>
      <c r="F148" s="2">
        <v>1616170000000</v>
      </c>
      <c r="G148" t="s">
        <v>89</v>
      </c>
      <c r="H148" s="3">
        <v>3213</v>
      </c>
      <c r="I148" s="3">
        <v>6406</v>
      </c>
      <c r="J148" s="3">
        <v>830</v>
      </c>
      <c r="K148" s="3">
        <v>0</v>
      </c>
      <c r="L148" s="3">
        <v>0</v>
      </c>
      <c r="M148" s="3">
        <v>3006</v>
      </c>
      <c r="N148" s="3">
        <v>534</v>
      </c>
      <c r="O148" s="3">
        <v>4</v>
      </c>
      <c r="P148" s="3">
        <v>6937</v>
      </c>
      <c r="Q148" s="3">
        <f t="shared" si="2"/>
        <v>20930</v>
      </c>
    </row>
    <row r="149" spans="1:17" x14ac:dyDescent="0.2">
      <c r="A149" t="s">
        <v>567</v>
      </c>
      <c r="B149" t="s">
        <v>568</v>
      </c>
      <c r="C149" t="s">
        <v>569</v>
      </c>
      <c r="D149" s="2">
        <v>1537200000000</v>
      </c>
      <c r="E149" t="s">
        <v>570</v>
      </c>
      <c r="F149" s="2">
        <v>1618570000000</v>
      </c>
      <c r="G149" t="s">
        <v>571</v>
      </c>
      <c r="H149" s="3">
        <v>2955</v>
      </c>
      <c r="I149" s="3">
        <v>5283</v>
      </c>
      <c r="J149" s="3">
        <v>23590</v>
      </c>
      <c r="K149" s="3">
        <v>0</v>
      </c>
      <c r="L149" s="3">
        <v>167</v>
      </c>
      <c r="M149" s="3">
        <v>73065</v>
      </c>
      <c r="N149" s="3">
        <v>17577</v>
      </c>
      <c r="O149" s="3">
        <v>0</v>
      </c>
      <c r="P149" s="3">
        <v>10322</v>
      </c>
      <c r="Q149" s="3">
        <f t="shared" si="2"/>
        <v>132959</v>
      </c>
    </row>
    <row r="150" spans="1:17" x14ac:dyDescent="0.2">
      <c r="A150" t="s">
        <v>248</v>
      </c>
      <c r="B150" t="s">
        <v>249</v>
      </c>
      <c r="C150" t="s">
        <v>250</v>
      </c>
      <c r="D150" s="2">
        <v>1527180000000</v>
      </c>
      <c r="E150" t="s">
        <v>251</v>
      </c>
      <c r="F150" s="2">
        <v>1612230000000</v>
      </c>
      <c r="G150" t="s">
        <v>252</v>
      </c>
      <c r="H150" s="3">
        <v>1667</v>
      </c>
      <c r="I150" s="3">
        <v>1989</v>
      </c>
      <c r="J150" s="3">
        <v>50</v>
      </c>
      <c r="K150" s="3">
        <v>0</v>
      </c>
      <c r="L150" s="3">
        <v>3</v>
      </c>
      <c r="M150" s="3">
        <v>113</v>
      </c>
      <c r="N150" s="3">
        <v>3</v>
      </c>
      <c r="O150" s="3">
        <v>0</v>
      </c>
      <c r="P150" s="3">
        <v>3017</v>
      </c>
      <c r="Q150" s="3">
        <f t="shared" si="2"/>
        <v>6842</v>
      </c>
    </row>
    <row r="151" spans="1:17" x14ac:dyDescent="0.2">
      <c r="A151" t="s">
        <v>194</v>
      </c>
      <c r="B151" t="s">
        <v>195</v>
      </c>
      <c r="C151" t="s">
        <v>196</v>
      </c>
      <c r="D151" s="2">
        <v>1470400000000</v>
      </c>
      <c r="E151" t="s">
        <v>197</v>
      </c>
      <c r="F151" s="2">
        <v>1608300000000</v>
      </c>
      <c r="G151" t="s">
        <v>198</v>
      </c>
      <c r="H151" s="3">
        <v>1514</v>
      </c>
      <c r="I151" s="3">
        <v>2281</v>
      </c>
      <c r="J151" s="3">
        <v>9046</v>
      </c>
      <c r="K151" s="3">
        <v>0</v>
      </c>
      <c r="L151" s="3">
        <v>42</v>
      </c>
      <c r="M151" s="3">
        <v>22569</v>
      </c>
      <c r="N151" s="3">
        <v>1181</v>
      </c>
      <c r="O151" s="3">
        <v>0</v>
      </c>
      <c r="P151" s="3">
        <v>2313</v>
      </c>
      <c r="Q151" s="3">
        <f t="shared" si="2"/>
        <v>38946</v>
      </c>
    </row>
    <row r="152" spans="1:17" x14ac:dyDescent="0.2">
      <c r="A152" t="s">
        <v>669</v>
      </c>
      <c r="B152" t="s">
        <v>670</v>
      </c>
      <c r="C152" t="s">
        <v>671</v>
      </c>
      <c r="D152" s="2">
        <v>1540500000000</v>
      </c>
      <c r="E152" t="s">
        <v>672</v>
      </c>
      <c r="F152" s="2">
        <v>1611860000000</v>
      </c>
      <c r="G152" t="s">
        <v>673</v>
      </c>
      <c r="H152" s="3">
        <v>1465</v>
      </c>
      <c r="I152" s="3">
        <v>1486</v>
      </c>
      <c r="J152" s="3">
        <v>2108</v>
      </c>
      <c r="K152" s="3">
        <v>0</v>
      </c>
      <c r="L152" s="3">
        <v>7</v>
      </c>
      <c r="M152" s="3">
        <v>7778</v>
      </c>
      <c r="N152" s="3">
        <v>616</v>
      </c>
      <c r="O152" s="3">
        <v>0</v>
      </c>
      <c r="P152" s="3">
        <v>1486</v>
      </c>
      <c r="Q152" s="3">
        <f t="shared" si="2"/>
        <v>14946</v>
      </c>
    </row>
    <row r="153" spans="1:17" x14ac:dyDescent="0.2">
      <c r="A153" t="s">
        <v>595</v>
      </c>
      <c r="B153" t="s">
        <v>596</v>
      </c>
      <c r="C153" t="s">
        <v>597</v>
      </c>
      <c r="D153" s="2">
        <v>1536070000000</v>
      </c>
      <c r="E153" t="s">
        <v>598</v>
      </c>
      <c r="F153" s="2">
        <v>1608170000000</v>
      </c>
      <c r="G153" t="s">
        <v>599</v>
      </c>
      <c r="H153" s="3">
        <v>957</v>
      </c>
      <c r="I153" s="3">
        <v>997</v>
      </c>
      <c r="J153" s="3">
        <v>1588</v>
      </c>
      <c r="K153" s="3">
        <v>0</v>
      </c>
      <c r="L153" s="3">
        <v>4</v>
      </c>
      <c r="M153" s="3">
        <v>4592</v>
      </c>
      <c r="N153" s="3">
        <v>467</v>
      </c>
      <c r="O153" s="3">
        <v>0</v>
      </c>
      <c r="P153" s="3">
        <v>1019</v>
      </c>
      <c r="Q153" s="3">
        <f t="shared" si="2"/>
        <v>9624</v>
      </c>
    </row>
    <row r="154" spans="1:17" x14ac:dyDescent="0.2">
      <c r="A154" t="s">
        <v>830</v>
      </c>
      <c r="B154" t="s">
        <v>831</v>
      </c>
      <c r="C154" t="s">
        <v>832</v>
      </c>
      <c r="D154" s="2">
        <v>1565020000000</v>
      </c>
      <c r="E154" t="s">
        <v>469</v>
      </c>
      <c r="F154" s="2">
        <v>1611720000000</v>
      </c>
      <c r="G154" t="s">
        <v>646</v>
      </c>
      <c r="H154" s="3">
        <v>514</v>
      </c>
      <c r="I154" s="3">
        <v>602</v>
      </c>
      <c r="J154" s="3">
        <v>600</v>
      </c>
      <c r="K154" s="3">
        <v>0</v>
      </c>
      <c r="L154" s="3">
        <v>1</v>
      </c>
      <c r="M154" s="3">
        <v>1384</v>
      </c>
      <c r="N154" s="3">
        <v>591</v>
      </c>
      <c r="O154" s="3">
        <v>0</v>
      </c>
      <c r="P154" s="3">
        <v>667</v>
      </c>
      <c r="Q154" s="3">
        <f t="shared" si="2"/>
        <v>4359</v>
      </c>
    </row>
    <row r="155" spans="1:17" x14ac:dyDescent="0.2">
      <c r="A155" t="s">
        <v>405</v>
      </c>
      <c r="B155" t="s">
        <v>406</v>
      </c>
      <c r="C155" t="s">
        <v>407</v>
      </c>
      <c r="D155" s="2">
        <v>1474400000000</v>
      </c>
      <c r="E155" t="s">
        <v>408</v>
      </c>
      <c r="F155" s="2">
        <v>1608040000000</v>
      </c>
      <c r="G155" t="s">
        <v>54</v>
      </c>
      <c r="H155" s="3">
        <v>435</v>
      </c>
      <c r="I155" s="3">
        <v>90</v>
      </c>
      <c r="J155" s="3">
        <v>75</v>
      </c>
      <c r="K155" s="3">
        <v>0</v>
      </c>
      <c r="L155" s="3">
        <v>0</v>
      </c>
      <c r="M155" s="3">
        <v>0</v>
      </c>
      <c r="N155" s="3">
        <v>7</v>
      </c>
      <c r="O155" s="3">
        <v>0</v>
      </c>
      <c r="P155" s="3">
        <v>90</v>
      </c>
      <c r="Q155" s="3">
        <f t="shared" si="2"/>
        <v>697</v>
      </c>
    </row>
    <row r="156" spans="1:17" x14ac:dyDescent="0.2">
      <c r="A156" t="s">
        <v>449</v>
      </c>
      <c r="B156" t="s">
        <v>450</v>
      </c>
      <c r="C156" t="s">
        <v>451</v>
      </c>
      <c r="D156" s="2">
        <v>1519760000000</v>
      </c>
      <c r="E156" t="s">
        <v>452</v>
      </c>
      <c r="F156" s="2">
        <v>1615840000000</v>
      </c>
      <c r="G156" t="s">
        <v>453</v>
      </c>
      <c r="H156" s="3">
        <v>350</v>
      </c>
      <c r="I156" s="3">
        <v>448</v>
      </c>
      <c r="J156" s="3">
        <v>2036</v>
      </c>
      <c r="K156" s="3">
        <v>0</v>
      </c>
      <c r="L156" s="3">
        <v>6</v>
      </c>
      <c r="M156" s="3">
        <v>8491</v>
      </c>
      <c r="N156" s="3">
        <v>331</v>
      </c>
      <c r="O156" s="3">
        <v>0</v>
      </c>
      <c r="P156" s="3">
        <v>452</v>
      </c>
      <c r="Q156" s="3">
        <f t="shared" si="2"/>
        <v>12114</v>
      </c>
    </row>
    <row r="157" spans="1:17" x14ac:dyDescent="0.2">
      <c r="A157" t="s">
        <v>786</v>
      </c>
      <c r="B157" t="s">
        <v>787</v>
      </c>
      <c r="C157" t="s">
        <v>788</v>
      </c>
      <c r="D157" s="2">
        <v>1536850000000</v>
      </c>
      <c r="E157" t="s">
        <v>789</v>
      </c>
      <c r="F157" s="2">
        <v>1617640000000</v>
      </c>
      <c r="G157" t="s">
        <v>25</v>
      </c>
      <c r="H157" s="3">
        <v>188</v>
      </c>
      <c r="I157" s="3">
        <v>3208</v>
      </c>
      <c r="J157" s="3">
        <v>4820</v>
      </c>
      <c r="K157" s="3">
        <v>0</v>
      </c>
      <c r="L157" s="3">
        <v>5</v>
      </c>
      <c r="M157" s="3">
        <v>14546</v>
      </c>
      <c r="N157" s="3">
        <v>600</v>
      </c>
      <c r="O157" s="3">
        <v>0</v>
      </c>
      <c r="P157" s="3">
        <v>3375</v>
      </c>
      <c r="Q157" s="3">
        <f t="shared" si="2"/>
        <v>26742</v>
      </c>
    </row>
    <row r="158" spans="1:17" x14ac:dyDescent="0.2">
      <c r="A158" t="s">
        <v>739</v>
      </c>
      <c r="B158" t="s">
        <v>740</v>
      </c>
      <c r="C158" t="s">
        <v>741</v>
      </c>
      <c r="D158" s="2">
        <v>1556540000000</v>
      </c>
      <c r="E158" t="s">
        <v>742</v>
      </c>
      <c r="F158" s="2">
        <v>1608040000000</v>
      </c>
      <c r="H158" s="3">
        <v>87</v>
      </c>
      <c r="I158" s="3">
        <v>85</v>
      </c>
      <c r="J158" s="3">
        <v>76</v>
      </c>
      <c r="K158" s="3">
        <v>0</v>
      </c>
      <c r="L158" s="3">
        <v>0</v>
      </c>
      <c r="M158" s="3">
        <v>106</v>
      </c>
      <c r="N158" s="3">
        <v>43</v>
      </c>
      <c r="O158" s="3">
        <v>0</v>
      </c>
      <c r="P158" s="3">
        <v>82</v>
      </c>
      <c r="Q158" s="3">
        <f t="shared" si="2"/>
        <v>479</v>
      </c>
    </row>
    <row r="159" spans="1:17" x14ac:dyDescent="0.2">
      <c r="A159" t="s">
        <v>204</v>
      </c>
      <c r="B159" t="s">
        <v>205</v>
      </c>
      <c r="C159" t="s">
        <v>206</v>
      </c>
      <c r="D159" s="2">
        <v>1492460000000</v>
      </c>
      <c r="E159" t="s">
        <v>207</v>
      </c>
      <c r="F159" s="2">
        <v>1619550000000</v>
      </c>
      <c r="H159" s="3">
        <v>18</v>
      </c>
      <c r="I159" s="3">
        <v>20</v>
      </c>
      <c r="J159" s="3">
        <v>17</v>
      </c>
      <c r="K159" s="3">
        <v>3</v>
      </c>
      <c r="L159" s="3">
        <v>1</v>
      </c>
      <c r="M159" s="3">
        <v>50</v>
      </c>
      <c r="N159" s="3">
        <v>10</v>
      </c>
      <c r="O159" s="3">
        <v>0</v>
      </c>
      <c r="P159" s="3">
        <v>22</v>
      </c>
      <c r="Q159" s="3">
        <f t="shared" si="2"/>
        <v>141</v>
      </c>
    </row>
    <row r="160" spans="1:17" x14ac:dyDescent="0.2">
      <c r="A160" t="s">
        <v>145</v>
      </c>
      <c r="B160" t="s">
        <v>146</v>
      </c>
      <c r="C160" t="s">
        <v>147</v>
      </c>
      <c r="D160" s="2">
        <v>1475080000000</v>
      </c>
      <c r="E160" t="s">
        <v>148</v>
      </c>
      <c r="F160" s="2">
        <v>1608040000000</v>
      </c>
      <c r="G160" t="s">
        <v>149</v>
      </c>
      <c r="H160" s="3">
        <v>10</v>
      </c>
      <c r="I160" s="3">
        <v>10</v>
      </c>
      <c r="J160" s="3">
        <v>11</v>
      </c>
      <c r="K160" s="3">
        <v>0</v>
      </c>
      <c r="L160" s="3">
        <v>0</v>
      </c>
      <c r="M160" s="3">
        <v>0</v>
      </c>
      <c r="N160" s="3">
        <v>15</v>
      </c>
      <c r="O160" s="3">
        <v>0</v>
      </c>
      <c r="P160" s="3">
        <v>16</v>
      </c>
      <c r="Q160" s="3">
        <f t="shared" si="2"/>
        <v>62</v>
      </c>
    </row>
    <row r="161" spans="1:17" x14ac:dyDescent="0.2">
      <c r="A161" t="s">
        <v>790</v>
      </c>
      <c r="B161" t="s">
        <v>791</v>
      </c>
      <c r="C161" t="s">
        <v>792</v>
      </c>
      <c r="D161" s="2">
        <v>1537550000000</v>
      </c>
      <c r="E161" t="s">
        <v>793</v>
      </c>
      <c r="F161" s="2">
        <v>1608040000000</v>
      </c>
      <c r="H161" s="3">
        <v>5</v>
      </c>
      <c r="I161" s="3">
        <v>5</v>
      </c>
      <c r="J161" s="3">
        <v>5</v>
      </c>
      <c r="K161" s="3">
        <v>0</v>
      </c>
      <c r="L161" s="3">
        <v>0</v>
      </c>
      <c r="M161" s="3">
        <v>5</v>
      </c>
      <c r="N161" s="3">
        <v>0</v>
      </c>
      <c r="O161" s="3">
        <v>0</v>
      </c>
      <c r="P161" s="3">
        <v>5</v>
      </c>
      <c r="Q161" s="3">
        <f t="shared" si="2"/>
        <v>25</v>
      </c>
    </row>
    <row r="162" spans="1:17" x14ac:dyDescent="0.2">
      <c r="A162" t="s">
        <v>688</v>
      </c>
      <c r="B162" t="s">
        <v>689</v>
      </c>
      <c r="C162" t="s">
        <v>690</v>
      </c>
      <c r="D162" s="2">
        <v>1584390000000</v>
      </c>
      <c r="E162" t="s">
        <v>691</v>
      </c>
      <c r="F162" s="2">
        <v>1616780000000</v>
      </c>
      <c r="H162" s="3">
        <v>5</v>
      </c>
      <c r="I162" s="3">
        <v>11</v>
      </c>
      <c r="J162" s="3">
        <v>1</v>
      </c>
      <c r="K162" s="3">
        <v>0</v>
      </c>
      <c r="L162" s="3">
        <v>0</v>
      </c>
      <c r="M162" s="3">
        <v>4</v>
      </c>
      <c r="N162" s="3">
        <v>0</v>
      </c>
      <c r="O162" s="3">
        <v>0</v>
      </c>
      <c r="P162" s="3">
        <v>6</v>
      </c>
      <c r="Q162" s="3">
        <f t="shared" si="2"/>
        <v>27</v>
      </c>
    </row>
    <row r="163" spans="1:17" x14ac:dyDescent="0.2">
      <c r="A163" t="s">
        <v>95</v>
      </c>
      <c r="B163" t="s">
        <v>96</v>
      </c>
      <c r="C163" t="s">
        <v>97</v>
      </c>
      <c r="D163" s="2">
        <v>1534190000000</v>
      </c>
      <c r="E163" t="s">
        <v>98</v>
      </c>
      <c r="F163" s="2">
        <v>1614960000000</v>
      </c>
      <c r="G163" t="s">
        <v>99</v>
      </c>
      <c r="H163" s="3">
        <v>5</v>
      </c>
      <c r="I163" s="3">
        <v>5</v>
      </c>
      <c r="J163" s="3">
        <v>0</v>
      </c>
      <c r="K163" s="3">
        <v>0</v>
      </c>
      <c r="L163" s="3">
        <v>0</v>
      </c>
      <c r="M163" s="3">
        <v>0</v>
      </c>
      <c r="N163" s="3">
        <v>0</v>
      </c>
      <c r="O163" s="3">
        <v>0</v>
      </c>
      <c r="P163" s="3">
        <v>4</v>
      </c>
      <c r="Q163" s="3">
        <f t="shared" si="2"/>
        <v>14</v>
      </c>
    </row>
    <row r="164" spans="1:17" x14ac:dyDescent="0.2">
      <c r="A164" t="s">
        <v>409</v>
      </c>
      <c r="B164" t="s">
        <v>410</v>
      </c>
      <c r="C164" t="s">
        <v>411</v>
      </c>
      <c r="D164" s="2">
        <v>1474480000000</v>
      </c>
      <c r="E164" t="s">
        <v>408</v>
      </c>
      <c r="F164" s="2">
        <v>1608040000000</v>
      </c>
      <c r="G164" t="s">
        <v>412</v>
      </c>
      <c r="H164" s="3">
        <v>4</v>
      </c>
      <c r="I164" s="3">
        <v>3</v>
      </c>
      <c r="J164" s="3">
        <v>13</v>
      </c>
      <c r="K164" s="3">
        <v>0</v>
      </c>
      <c r="L164" s="3">
        <v>0</v>
      </c>
      <c r="M164" s="3">
        <v>0</v>
      </c>
      <c r="N164" s="3">
        <v>12</v>
      </c>
      <c r="O164" s="3">
        <v>0</v>
      </c>
      <c r="P164" s="3">
        <v>3</v>
      </c>
      <c r="Q164" s="3">
        <f t="shared" si="2"/>
        <v>35</v>
      </c>
    </row>
    <row r="165" spans="1:17" x14ac:dyDescent="0.2">
      <c r="A165" t="s">
        <v>550</v>
      </c>
      <c r="B165" t="s">
        <v>551</v>
      </c>
      <c r="C165" t="s">
        <v>552</v>
      </c>
      <c r="D165" s="2">
        <v>1457970000000</v>
      </c>
      <c r="E165" t="s">
        <v>553</v>
      </c>
      <c r="F165" s="2">
        <v>1608040000000</v>
      </c>
      <c r="G165" t="s">
        <v>68</v>
      </c>
      <c r="H165" s="3">
        <v>4</v>
      </c>
      <c r="I165" s="3">
        <v>4</v>
      </c>
      <c r="J165" s="3">
        <v>11</v>
      </c>
      <c r="K165" s="3">
        <v>0</v>
      </c>
      <c r="L165" s="3">
        <v>0</v>
      </c>
      <c r="M165" s="3">
        <v>31</v>
      </c>
      <c r="N165" s="3">
        <v>3</v>
      </c>
      <c r="O165" s="3">
        <v>0</v>
      </c>
      <c r="P165" s="3">
        <v>4</v>
      </c>
      <c r="Q165" s="3">
        <f t="shared" si="2"/>
        <v>57</v>
      </c>
    </row>
    <row r="166" spans="1:17" x14ac:dyDescent="0.2">
      <c r="A166" t="s">
        <v>562</v>
      </c>
      <c r="B166" t="s">
        <v>563</v>
      </c>
      <c r="C166" t="s">
        <v>564</v>
      </c>
      <c r="D166" s="2">
        <v>1519660000000</v>
      </c>
      <c r="E166" t="s">
        <v>565</v>
      </c>
      <c r="F166" s="2">
        <v>1608040000000</v>
      </c>
      <c r="G166" t="s">
        <v>566</v>
      </c>
      <c r="H166" s="3">
        <v>2</v>
      </c>
      <c r="I166" s="3">
        <v>2</v>
      </c>
      <c r="J166" s="3">
        <v>5</v>
      </c>
      <c r="K166" s="3">
        <v>0</v>
      </c>
      <c r="L166" s="3">
        <v>0</v>
      </c>
      <c r="M166" s="3">
        <v>14</v>
      </c>
      <c r="N166" s="3">
        <v>2</v>
      </c>
      <c r="O166" s="3">
        <v>0</v>
      </c>
      <c r="P166" s="3">
        <v>2</v>
      </c>
      <c r="Q166" s="3">
        <f t="shared" si="2"/>
        <v>27</v>
      </c>
    </row>
    <row r="167" spans="1:17" x14ac:dyDescent="0.2">
      <c r="A167" t="s">
        <v>774</v>
      </c>
      <c r="B167" t="s">
        <v>775</v>
      </c>
      <c r="C167" t="s">
        <v>776</v>
      </c>
      <c r="D167" s="2">
        <v>1582050000000</v>
      </c>
      <c r="E167" t="s">
        <v>777</v>
      </c>
      <c r="F167" s="2">
        <v>1611720000000</v>
      </c>
      <c r="G167" t="s">
        <v>149</v>
      </c>
      <c r="H167" s="3">
        <v>1</v>
      </c>
      <c r="I167" s="3">
        <v>2</v>
      </c>
      <c r="J167" s="3">
        <v>2</v>
      </c>
      <c r="K167" s="3">
        <v>0</v>
      </c>
      <c r="L167" s="3">
        <v>0</v>
      </c>
      <c r="M167" s="3">
        <v>0</v>
      </c>
      <c r="N167" s="3">
        <v>0</v>
      </c>
      <c r="O167" s="3">
        <v>0</v>
      </c>
      <c r="P167" s="3">
        <v>10</v>
      </c>
      <c r="Q167" s="3">
        <f t="shared" si="2"/>
        <v>15</v>
      </c>
    </row>
    <row r="168" spans="1:17" x14ac:dyDescent="0.2">
      <c r="A168" t="s">
        <v>336</v>
      </c>
      <c r="B168" t="s">
        <v>337</v>
      </c>
      <c r="C168" t="s">
        <v>338</v>
      </c>
      <c r="D168" s="2">
        <v>1489520000000</v>
      </c>
      <c r="E168" t="s">
        <v>339</v>
      </c>
      <c r="F168" s="2">
        <v>1608040000000</v>
      </c>
      <c r="H168" s="3">
        <v>1</v>
      </c>
      <c r="I168" s="3">
        <v>1</v>
      </c>
      <c r="J168" s="3">
        <v>0</v>
      </c>
      <c r="K168" s="3">
        <v>0</v>
      </c>
      <c r="L168" s="3">
        <v>0</v>
      </c>
      <c r="M168" s="3">
        <v>0</v>
      </c>
      <c r="N168" s="3">
        <v>0</v>
      </c>
      <c r="O168" s="3">
        <v>0</v>
      </c>
      <c r="P168" s="3">
        <v>1</v>
      </c>
      <c r="Q168" s="3">
        <f t="shared" si="2"/>
        <v>3</v>
      </c>
    </row>
    <row r="169" spans="1:17" x14ac:dyDescent="0.2">
      <c r="A169" s="1" t="s">
        <v>692</v>
      </c>
      <c r="B169" t="s">
        <v>693</v>
      </c>
      <c r="C169" t="s">
        <v>694</v>
      </c>
      <c r="D169" s="2">
        <v>1586890000000</v>
      </c>
      <c r="E169" t="s">
        <v>695</v>
      </c>
      <c r="F169" s="2">
        <v>1619720000000</v>
      </c>
      <c r="G169" t="s">
        <v>659</v>
      </c>
      <c r="H169" s="3">
        <v>1</v>
      </c>
      <c r="I169" s="3">
        <v>1</v>
      </c>
      <c r="J169" s="3">
        <v>1</v>
      </c>
      <c r="K169" s="3">
        <v>0</v>
      </c>
      <c r="L169" s="3">
        <v>0</v>
      </c>
      <c r="M169" s="3">
        <v>0</v>
      </c>
      <c r="N169" s="3">
        <v>0</v>
      </c>
      <c r="O169" s="3">
        <v>0</v>
      </c>
      <c r="P169" s="3">
        <v>1</v>
      </c>
      <c r="Q169" s="3">
        <f t="shared" si="2"/>
        <v>4</v>
      </c>
    </row>
    <row r="170" spans="1:17" x14ac:dyDescent="0.2">
      <c r="A170" t="s">
        <v>655</v>
      </c>
      <c r="B170" t="s">
        <v>656</v>
      </c>
      <c r="C170" t="s">
        <v>657</v>
      </c>
      <c r="D170" s="2">
        <v>1608670000000</v>
      </c>
      <c r="E170" t="s">
        <v>658</v>
      </c>
      <c r="F170" s="2">
        <v>1618450000000</v>
      </c>
      <c r="G170" t="s">
        <v>659</v>
      </c>
      <c r="H170" s="3">
        <v>0</v>
      </c>
      <c r="I170" s="3">
        <v>0</v>
      </c>
      <c r="J170" s="3">
        <v>0</v>
      </c>
      <c r="K170" s="3">
        <v>0</v>
      </c>
      <c r="L170" s="3">
        <v>0</v>
      </c>
      <c r="M170" s="3">
        <v>0</v>
      </c>
      <c r="N170" s="3">
        <v>0</v>
      </c>
      <c r="O170" s="3">
        <v>0</v>
      </c>
      <c r="P170" s="3">
        <v>0</v>
      </c>
      <c r="Q170" s="3">
        <f t="shared" si="2"/>
        <v>0</v>
      </c>
    </row>
    <row r="171" spans="1:17" x14ac:dyDescent="0.2">
      <c r="A171" t="s">
        <v>696</v>
      </c>
      <c r="B171" t="s">
        <v>697</v>
      </c>
      <c r="C171" t="s">
        <v>698</v>
      </c>
      <c r="D171" s="2">
        <v>1613660000000</v>
      </c>
      <c r="E171" t="s">
        <v>699</v>
      </c>
      <c r="F171" s="2">
        <v>1619040000000</v>
      </c>
      <c r="G171" t="s">
        <v>659</v>
      </c>
      <c r="H171" s="3">
        <v>0</v>
      </c>
      <c r="I171" s="3">
        <v>0</v>
      </c>
      <c r="J171" s="3">
        <v>0</v>
      </c>
      <c r="K171" s="3">
        <v>0</v>
      </c>
      <c r="L171" s="3">
        <v>0</v>
      </c>
      <c r="M171" s="3">
        <v>0</v>
      </c>
      <c r="N171" s="3">
        <v>0</v>
      </c>
      <c r="O171" s="3">
        <v>0</v>
      </c>
      <c r="P171" s="3">
        <v>0</v>
      </c>
      <c r="Q171" s="3">
        <f t="shared" si="2"/>
        <v>0</v>
      </c>
    </row>
    <row r="172" spans="1:17" x14ac:dyDescent="0.2">
      <c r="A172" t="s">
        <v>700</v>
      </c>
      <c r="B172" t="s">
        <v>701</v>
      </c>
      <c r="C172" t="s">
        <v>702</v>
      </c>
      <c r="D172" s="2">
        <v>1563900000000</v>
      </c>
      <c r="E172" t="s">
        <v>703</v>
      </c>
      <c r="F172" s="2">
        <v>1608040000000</v>
      </c>
      <c r="G172" t="s">
        <v>704</v>
      </c>
      <c r="H172" s="3">
        <v>0</v>
      </c>
      <c r="I172" s="3">
        <v>0</v>
      </c>
      <c r="J172" s="3">
        <v>0</v>
      </c>
      <c r="K172" s="3">
        <v>0</v>
      </c>
      <c r="L172" s="3">
        <v>0</v>
      </c>
      <c r="M172" s="3">
        <v>0</v>
      </c>
      <c r="N172" s="3">
        <v>0</v>
      </c>
      <c r="O172" s="3">
        <v>0</v>
      </c>
      <c r="P172" s="3">
        <v>0</v>
      </c>
      <c r="Q172" s="3">
        <f t="shared" si="2"/>
        <v>0</v>
      </c>
    </row>
    <row r="173" spans="1:17" x14ac:dyDescent="0.2">
      <c r="A173" t="s">
        <v>778</v>
      </c>
      <c r="B173" t="s">
        <v>779</v>
      </c>
      <c r="C173" t="s">
        <v>780</v>
      </c>
      <c r="D173" s="2">
        <v>1593610000000</v>
      </c>
      <c r="E173" t="s">
        <v>781</v>
      </c>
      <c r="F173" s="2">
        <v>1614280000000</v>
      </c>
      <c r="H173" s="3">
        <v>0</v>
      </c>
      <c r="I173" s="3">
        <v>0</v>
      </c>
      <c r="J173" s="3">
        <v>0</v>
      </c>
      <c r="K173" s="3">
        <v>0</v>
      </c>
      <c r="L173" s="3">
        <v>0</v>
      </c>
      <c r="M173" s="3">
        <v>0</v>
      </c>
      <c r="N173" s="3">
        <v>0</v>
      </c>
      <c r="O173" s="3">
        <v>0</v>
      </c>
      <c r="P173" s="3">
        <v>0</v>
      </c>
      <c r="Q173" s="3">
        <f t="shared" si="2"/>
        <v>0</v>
      </c>
    </row>
    <row r="174" spans="1:17" x14ac:dyDescent="0.2">
      <c r="A174" t="s">
        <v>629</v>
      </c>
      <c r="B174" t="s">
        <v>630</v>
      </c>
      <c r="C174" t="s">
        <v>631</v>
      </c>
      <c r="D174" s="2">
        <v>1606850000000</v>
      </c>
      <c r="E174" t="s">
        <v>632</v>
      </c>
      <c r="F174" s="2">
        <v>1614960000000</v>
      </c>
      <c r="G174" t="s">
        <v>633</v>
      </c>
      <c r="H174" s="3">
        <v>0</v>
      </c>
      <c r="I174" s="3">
        <v>0</v>
      </c>
      <c r="J174" s="3">
        <v>0</v>
      </c>
      <c r="K174" s="3">
        <v>0</v>
      </c>
      <c r="L174" s="3">
        <v>0</v>
      </c>
      <c r="M174" s="3">
        <v>0</v>
      </c>
      <c r="N174" s="3">
        <v>0</v>
      </c>
      <c r="O174" s="3">
        <v>0</v>
      </c>
      <c r="P174" s="3">
        <v>0</v>
      </c>
      <c r="Q174" s="3">
        <f t="shared" si="2"/>
        <v>0</v>
      </c>
    </row>
    <row r="175" spans="1:17" x14ac:dyDescent="0.2">
      <c r="A175" t="s">
        <v>684</v>
      </c>
      <c r="B175" t="s">
        <v>685</v>
      </c>
      <c r="C175" t="s">
        <v>686</v>
      </c>
      <c r="D175" s="2">
        <v>1556550000000</v>
      </c>
      <c r="E175" t="s">
        <v>687</v>
      </c>
      <c r="F175" s="2">
        <v>1602810000000</v>
      </c>
      <c r="G175" t="s">
        <v>89</v>
      </c>
      <c r="H175" s="3">
        <v>0</v>
      </c>
      <c r="I175" s="3">
        <v>0</v>
      </c>
      <c r="J175" s="3">
        <v>0</v>
      </c>
      <c r="K175" s="3">
        <v>0</v>
      </c>
      <c r="L175" s="3">
        <v>0</v>
      </c>
      <c r="M175" s="3">
        <v>0</v>
      </c>
      <c r="N175" s="3">
        <v>0</v>
      </c>
      <c r="O175" s="3">
        <v>0</v>
      </c>
      <c r="P175" s="3">
        <v>0</v>
      </c>
      <c r="Q175" s="3">
        <f t="shared" si="2"/>
        <v>0</v>
      </c>
    </row>
    <row r="176" spans="1:17" x14ac:dyDescent="0.2">
      <c r="A176" t="s">
        <v>845</v>
      </c>
      <c r="B176" t="s">
        <v>846</v>
      </c>
      <c r="C176" t="s">
        <v>847</v>
      </c>
      <c r="D176" s="2">
        <v>1618930000000</v>
      </c>
      <c r="E176" t="s">
        <v>848</v>
      </c>
      <c r="F176" s="2">
        <v>1618930000000</v>
      </c>
      <c r="H176" s="3">
        <v>0</v>
      </c>
      <c r="I176" s="3">
        <v>0</v>
      </c>
      <c r="J176" s="3">
        <v>0</v>
      </c>
      <c r="K176" s="3">
        <v>0</v>
      </c>
      <c r="L176" s="3">
        <v>0</v>
      </c>
      <c r="M176" s="3">
        <v>0</v>
      </c>
      <c r="N176" s="3">
        <v>0</v>
      </c>
      <c r="O176" s="3">
        <v>0</v>
      </c>
      <c r="P176" s="3">
        <v>0</v>
      </c>
      <c r="Q176" s="3">
        <f t="shared" si="2"/>
        <v>0</v>
      </c>
    </row>
    <row r="177" spans="1:17" x14ac:dyDescent="0.2">
      <c r="A177" t="s">
        <v>651</v>
      </c>
      <c r="B177" t="s">
        <v>652</v>
      </c>
      <c r="C177" t="s">
        <v>653</v>
      </c>
      <c r="D177" s="2">
        <v>1588740000000</v>
      </c>
      <c r="E177" t="s">
        <v>654</v>
      </c>
      <c r="F177" s="2">
        <v>1608040000000</v>
      </c>
      <c r="H177" s="3">
        <v>0</v>
      </c>
      <c r="I177" s="3">
        <v>0</v>
      </c>
      <c r="J177" s="3">
        <v>0</v>
      </c>
      <c r="K177" s="3">
        <v>0</v>
      </c>
      <c r="L177" s="3">
        <v>0</v>
      </c>
      <c r="M177" s="3">
        <v>0</v>
      </c>
      <c r="N177" s="3">
        <v>0</v>
      </c>
      <c r="O177" s="3">
        <v>0</v>
      </c>
      <c r="P177" s="3">
        <v>0</v>
      </c>
      <c r="Q177" s="3">
        <f t="shared" si="2"/>
        <v>0</v>
      </c>
    </row>
    <row r="178" spans="1:17" x14ac:dyDescent="0.2">
      <c r="A178" t="s">
        <v>674</v>
      </c>
      <c r="B178" t="s">
        <v>675</v>
      </c>
      <c r="C178" t="s">
        <v>676</v>
      </c>
      <c r="D178" s="2">
        <v>1582130000000</v>
      </c>
      <c r="E178" t="s">
        <v>677</v>
      </c>
      <c r="F178" s="2">
        <v>1616710000000</v>
      </c>
      <c r="G178" t="s">
        <v>678</v>
      </c>
      <c r="H178" s="3">
        <v>0</v>
      </c>
      <c r="I178" s="3">
        <v>0</v>
      </c>
      <c r="J178" s="3">
        <v>0</v>
      </c>
      <c r="K178" s="3">
        <v>0</v>
      </c>
      <c r="L178" s="3">
        <v>0</v>
      </c>
      <c r="M178" s="3">
        <v>0</v>
      </c>
      <c r="N178" s="3">
        <v>0</v>
      </c>
      <c r="O178" s="3">
        <v>0</v>
      </c>
      <c r="P178" s="3">
        <v>0</v>
      </c>
      <c r="Q178" s="3">
        <f t="shared" si="2"/>
        <v>0</v>
      </c>
    </row>
    <row r="179" spans="1:17" x14ac:dyDescent="0.2">
      <c r="A179" t="s">
        <v>841</v>
      </c>
      <c r="B179" t="s">
        <v>842</v>
      </c>
      <c r="C179" t="s">
        <v>843</v>
      </c>
      <c r="D179" s="2">
        <v>1618510000000</v>
      </c>
      <c r="E179" t="s">
        <v>844</v>
      </c>
      <c r="F179" s="2">
        <v>1619810000000</v>
      </c>
      <c r="H179" s="3">
        <v>0</v>
      </c>
      <c r="I179" s="3">
        <v>0</v>
      </c>
      <c r="J179" s="3">
        <v>0</v>
      </c>
      <c r="K179" s="3">
        <v>0</v>
      </c>
      <c r="L179" s="3">
        <v>0</v>
      </c>
      <c r="M179" s="3">
        <v>0</v>
      </c>
      <c r="N179" s="3">
        <v>0</v>
      </c>
      <c r="O179" s="3">
        <v>0</v>
      </c>
      <c r="P179" s="3">
        <v>0</v>
      </c>
      <c r="Q179" s="3">
        <f t="shared" si="2"/>
        <v>0</v>
      </c>
    </row>
    <row r="180" spans="1:17" x14ac:dyDescent="0.2">
      <c r="A180" t="s">
        <v>746</v>
      </c>
      <c r="B180" t="s">
        <v>747</v>
      </c>
      <c r="C180" t="s">
        <v>748</v>
      </c>
      <c r="D180" s="2">
        <v>1610460000000</v>
      </c>
      <c r="E180" t="s">
        <v>749</v>
      </c>
      <c r="F180" s="2">
        <v>1619810000000</v>
      </c>
      <c r="G180" t="s">
        <v>664</v>
      </c>
      <c r="H180" s="3">
        <v>0</v>
      </c>
      <c r="I180" s="3">
        <v>0</v>
      </c>
      <c r="J180" s="3">
        <v>0</v>
      </c>
      <c r="K180" s="3">
        <v>0</v>
      </c>
      <c r="L180" s="3">
        <v>0</v>
      </c>
      <c r="M180" s="3">
        <v>0</v>
      </c>
      <c r="N180" s="3">
        <v>0</v>
      </c>
      <c r="O180" s="3">
        <v>0</v>
      </c>
      <c r="P180" s="3">
        <v>0</v>
      </c>
      <c r="Q180" s="3">
        <f t="shared" si="2"/>
        <v>0</v>
      </c>
    </row>
    <row r="181" spans="1:17" x14ac:dyDescent="0.2">
      <c r="A181" t="s">
        <v>660</v>
      </c>
      <c r="B181" t="s">
        <v>661</v>
      </c>
      <c r="C181" t="s">
        <v>662</v>
      </c>
      <c r="D181" s="2">
        <v>1610460000000</v>
      </c>
      <c r="E181" t="s">
        <v>663</v>
      </c>
      <c r="F181" s="2">
        <v>1614030000000</v>
      </c>
      <c r="G181" t="s">
        <v>664</v>
      </c>
      <c r="H181" s="3">
        <v>0</v>
      </c>
      <c r="I181" s="3">
        <v>0</v>
      </c>
      <c r="J181" s="3">
        <v>0</v>
      </c>
      <c r="K181" s="3">
        <v>0</v>
      </c>
      <c r="L181" s="3">
        <v>0</v>
      </c>
      <c r="M181" s="3">
        <v>0</v>
      </c>
      <c r="N181" s="3">
        <v>0</v>
      </c>
      <c r="O181" s="3">
        <v>0</v>
      </c>
      <c r="P181" s="3">
        <v>0</v>
      </c>
      <c r="Q181" s="3">
        <f t="shared" si="2"/>
        <v>0</v>
      </c>
    </row>
    <row r="182" spans="1:17" x14ac:dyDescent="0.2">
      <c r="A182" t="s">
        <v>837</v>
      </c>
      <c r="B182" t="s">
        <v>838</v>
      </c>
      <c r="C182" t="s">
        <v>839</v>
      </c>
      <c r="D182" s="2">
        <v>1616670000000</v>
      </c>
      <c r="E182" t="s">
        <v>840</v>
      </c>
      <c r="F182" s="2">
        <v>1618340000000</v>
      </c>
      <c r="G182" t="s">
        <v>659</v>
      </c>
      <c r="H182" s="3">
        <v>0</v>
      </c>
      <c r="I182" s="3">
        <v>0</v>
      </c>
      <c r="J182" s="3">
        <v>0</v>
      </c>
      <c r="K182" s="3">
        <v>0</v>
      </c>
      <c r="L182" s="3">
        <v>0</v>
      </c>
      <c r="M182" s="3">
        <v>0</v>
      </c>
      <c r="N182" s="3">
        <v>0</v>
      </c>
      <c r="O182" s="3">
        <v>0</v>
      </c>
      <c r="P182" s="3">
        <v>0</v>
      </c>
      <c r="Q182" s="3">
        <f t="shared" si="2"/>
        <v>0</v>
      </c>
    </row>
    <row r="183" spans="1:17" x14ac:dyDescent="0.2">
      <c r="A183" t="s">
        <v>782</v>
      </c>
      <c r="B183" t="s">
        <v>783</v>
      </c>
      <c r="C183" t="s">
        <v>784</v>
      </c>
      <c r="D183" s="2">
        <v>1602190000000</v>
      </c>
      <c r="E183" t="s">
        <v>785</v>
      </c>
      <c r="F183" s="2">
        <v>1613590000000</v>
      </c>
      <c r="G183" t="s">
        <v>633</v>
      </c>
      <c r="H183" s="3">
        <v>0</v>
      </c>
      <c r="I183" s="3">
        <v>0</v>
      </c>
      <c r="J183" s="3">
        <v>0</v>
      </c>
      <c r="K183" s="3">
        <v>0</v>
      </c>
      <c r="L183" s="3">
        <v>0</v>
      </c>
      <c r="M183" s="3">
        <v>0</v>
      </c>
      <c r="N183" s="3">
        <v>0</v>
      </c>
      <c r="O183" s="3">
        <v>0</v>
      </c>
      <c r="P183" s="3">
        <v>0</v>
      </c>
      <c r="Q183" s="3">
        <f t="shared" si="2"/>
        <v>0</v>
      </c>
    </row>
    <row r="184" spans="1:17" x14ac:dyDescent="0.2">
      <c r="A184" t="s">
        <v>665</v>
      </c>
      <c r="B184" t="s">
        <v>666</v>
      </c>
      <c r="C184" t="s">
        <v>667</v>
      </c>
      <c r="D184" s="2">
        <v>1610460000000</v>
      </c>
      <c r="E184" t="s">
        <v>668</v>
      </c>
      <c r="F184" s="2">
        <v>1617630000000</v>
      </c>
      <c r="G184" t="s">
        <v>659</v>
      </c>
      <c r="H184" s="3">
        <v>0</v>
      </c>
      <c r="I184" s="3">
        <v>0</v>
      </c>
      <c r="J184" s="3">
        <v>0</v>
      </c>
      <c r="K184" s="3">
        <v>0</v>
      </c>
      <c r="L184" s="3">
        <v>0</v>
      </c>
      <c r="M184" s="3">
        <v>0</v>
      </c>
      <c r="N184" s="3">
        <v>0</v>
      </c>
      <c r="O184" s="3">
        <v>0</v>
      </c>
      <c r="P184" s="3">
        <v>0</v>
      </c>
      <c r="Q184" s="3">
        <f t="shared" si="2"/>
        <v>0</v>
      </c>
    </row>
    <row r="185" spans="1:17" x14ac:dyDescent="0.2">
      <c r="A185" t="s">
        <v>754</v>
      </c>
      <c r="B185" t="s">
        <v>755</v>
      </c>
      <c r="C185" t="s">
        <v>756</v>
      </c>
      <c r="D185" s="2">
        <v>1610460000000</v>
      </c>
      <c r="E185" t="s">
        <v>757</v>
      </c>
      <c r="F185" s="2">
        <v>1619530000000</v>
      </c>
      <c r="G185" t="s">
        <v>664</v>
      </c>
      <c r="H185" s="3">
        <v>0</v>
      </c>
      <c r="I185" s="3">
        <v>0</v>
      </c>
      <c r="J185" s="3">
        <v>0</v>
      </c>
      <c r="K185" s="3">
        <v>0</v>
      </c>
      <c r="L185" s="3">
        <v>0</v>
      </c>
      <c r="M185" s="3">
        <v>0</v>
      </c>
      <c r="N185" s="3">
        <v>0</v>
      </c>
      <c r="O185" s="3">
        <v>0</v>
      </c>
      <c r="P185" s="3">
        <v>0</v>
      </c>
      <c r="Q185" s="3">
        <f t="shared" si="2"/>
        <v>0</v>
      </c>
    </row>
    <row r="186" spans="1:17" x14ac:dyDescent="0.2">
      <c r="A186" t="s">
        <v>527</v>
      </c>
      <c r="B186" t="s">
        <v>528</v>
      </c>
      <c r="C186" t="s">
        <v>529</v>
      </c>
      <c r="D186" s="2">
        <v>1509470000000</v>
      </c>
      <c r="E186" t="s">
        <v>530</v>
      </c>
      <c r="F186" s="2">
        <v>1608040000000</v>
      </c>
      <c r="G186" t="s">
        <v>531</v>
      </c>
      <c r="H186" s="3">
        <v>0</v>
      </c>
      <c r="I186" s="3">
        <v>0</v>
      </c>
      <c r="J186" s="3">
        <v>0</v>
      </c>
      <c r="K186" s="3">
        <v>0</v>
      </c>
      <c r="L186" s="3">
        <v>0</v>
      </c>
      <c r="M186" s="3">
        <v>0</v>
      </c>
      <c r="N186" s="3">
        <v>0</v>
      </c>
      <c r="O186" s="3">
        <v>0</v>
      </c>
      <c r="P186" s="3">
        <v>0</v>
      </c>
      <c r="Q186" s="3">
        <f t="shared" si="2"/>
        <v>0</v>
      </c>
    </row>
    <row r="187" spans="1:17" x14ac:dyDescent="0.2">
      <c r="A187" t="s">
        <v>817</v>
      </c>
      <c r="B187" t="s">
        <v>818</v>
      </c>
      <c r="C187" t="s">
        <v>819</v>
      </c>
      <c r="D187" s="2">
        <v>1593460000000</v>
      </c>
      <c r="E187" t="s">
        <v>820</v>
      </c>
      <c r="F187" s="2">
        <v>1608210000000</v>
      </c>
      <c r="H187" s="3">
        <v>0</v>
      </c>
      <c r="I187" s="3">
        <v>0</v>
      </c>
      <c r="J187" s="3">
        <v>0</v>
      </c>
      <c r="K187" s="3">
        <v>0</v>
      </c>
      <c r="L187" s="3">
        <v>0</v>
      </c>
      <c r="M187" s="3">
        <v>0</v>
      </c>
      <c r="N187" s="3">
        <v>0</v>
      </c>
      <c r="O187" s="3">
        <v>0</v>
      </c>
      <c r="P187" s="3">
        <v>0</v>
      </c>
      <c r="Q187" s="3">
        <f t="shared" si="2"/>
        <v>0</v>
      </c>
    </row>
    <row r="188" spans="1:17" x14ac:dyDescent="0.2">
      <c r="A188" t="s">
        <v>821</v>
      </c>
      <c r="B188" t="s">
        <v>822</v>
      </c>
      <c r="C188" t="s">
        <v>823</v>
      </c>
      <c r="D188" s="2">
        <v>1598900000000</v>
      </c>
      <c r="E188" t="s">
        <v>824</v>
      </c>
      <c r="F188" s="2">
        <v>1617730000000</v>
      </c>
      <c r="H188" s="3">
        <v>0</v>
      </c>
      <c r="I188" s="3">
        <v>0</v>
      </c>
      <c r="J188" s="3">
        <v>0</v>
      </c>
      <c r="K188" s="3">
        <v>0</v>
      </c>
      <c r="L188" s="3">
        <v>0</v>
      </c>
      <c r="M188" s="3">
        <v>0</v>
      </c>
      <c r="N188" s="3">
        <v>0</v>
      </c>
      <c r="O188" s="3">
        <v>0</v>
      </c>
      <c r="P188" s="3">
        <v>0</v>
      </c>
      <c r="Q188" s="3">
        <f t="shared" si="2"/>
        <v>0</v>
      </c>
    </row>
    <row r="189" spans="1:17" x14ac:dyDescent="0.2">
      <c r="A189" t="s">
        <v>140</v>
      </c>
      <c r="B189" t="s">
        <v>141</v>
      </c>
      <c r="C189" t="s">
        <v>142</v>
      </c>
      <c r="D189" s="2">
        <v>1464800000000</v>
      </c>
      <c r="E189" t="s">
        <v>143</v>
      </c>
      <c r="F189" s="2">
        <v>1608040000000</v>
      </c>
      <c r="G189" t="s">
        <v>144</v>
      </c>
      <c r="H189" s="3">
        <v>0</v>
      </c>
      <c r="I189" s="3">
        <v>0</v>
      </c>
      <c r="J189" s="3">
        <v>0</v>
      </c>
      <c r="K189" s="3">
        <v>0</v>
      </c>
      <c r="L189" s="3">
        <v>0</v>
      </c>
      <c r="M189" s="3">
        <v>0</v>
      </c>
      <c r="N189" s="3">
        <v>0</v>
      </c>
      <c r="O189" s="3">
        <v>0</v>
      </c>
      <c r="P189" s="3">
        <v>0</v>
      </c>
      <c r="Q189" s="3">
        <f t="shared" si="2"/>
        <v>0</v>
      </c>
    </row>
    <row r="190" spans="1:17" x14ac:dyDescent="0.2">
      <c r="A190" t="s">
        <v>833</v>
      </c>
      <c r="B190" t="s">
        <v>834</v>
      </c>
      <c r="C190" t="s">
        <v>835</v>
      </c>
      <c r="D190" s="2">
        <v>1600980000000</v>
      </c>
      <c r="E190" t="s">
        <v>836</v>
      </c>
      <c r="F190" s="2">
        <v>1600980000000</v>
      </c>
      <c r="H190" s="3">
        <v>0</v>
      </c>
      <c r="I190" s="3">
        <v>0</v>
      </c>
      <c r="J190" s="3">
        <v>0</v>
      </c>
      <c r="K190" s="3">
        <v>0</v>
      </c>
      <c r="L190" s="3">
        <v>0</v>
      </c>
      <c r="M190" s="3">
        <v>0</v>
      </c>
      <c r="N190" s="3">
        <v>0</v>
      </c>
      <c r="O190" s="3">
        <v>0</v>
      </c>
      <c r="P190" s="3">
        <v>0</v>
      </c>
      <c r="Q190" s="3">
        <f t="shared" si="2"/>
        <v>0</v>
      </c>
    </row>
    <row r="191" spans="1:17" x14ac:dyDescent="0.2">
      <c r="A191" t="s">
        <v>731</v>
      </c>
      <c r="B191" t="s">
        <v>732</v>
      </c>
      <c r="C191" t="s">
        <v>733</v>
      </c>
      <c r="D191" s="2">
        <v>1595340000000</v>
      </c>
      <c r="E191" t="s">
        <v>734</v>
      </c>
      <c r="F191" s="2">
        <v>1619460000000</v>
      </c>
      <c r="G191" t="s">
        <v>25</v>
      </c>
      <c r="H191" s="3">
        <v>0</v>
      </c>
      <c r="I191" s="3">
        <v>0</v>
      </c>
      <c r="J191" s="3">
        <v>0</v>
      </c>
      <c r="K191" s="3">
        <v>0</v>
      </c>
      <c r="L191" s="3">
        <v>0</v>
      </c>
      <c r="M191" s="3">
        <v>0</v>
      </c>
      <c r="N191" s="3">
        <v>0</v>
      </c>
      <c r="O191" s="3">
        <v>0</v>
      </c>
      <c r="P191" s="3">
        <v>0</v>
      </c>
      <c r="Q191" s="3">
        <f t="shared" si="2"/>
        <v>0</v>
      </c>
    </row>
    <row r="192" spans="1:17" x14ac:dyDescent="0.2">
      <c r="A192" t="s">
        <v>625</v>
      </c>
      <c r="B192" t="s">
        <v>626</v>
      </c>
      <c r="C192" t="s">
        <v>627</v>
      </c>
      <c r="D192" s="2">
        <v>1589230000000</v>
      </c>
      <c r="E192" t="s">
        <v>628</v>
      </c>
      <c r="F192" s="2">
        <v>1619630000000</v>
      </c>
      <c r="G192" t="s">
        <v>25</v>
      </c>
      <c r="H192" s="3">
        <v>0</v>
      </c>
      <c r="I192" s="3">
        <v>0</v>
      </c>
      <c r="J192" s="3">
        <v>0</v>
      </c>
      <c r="K192" s="3">
        <v>0</v>
      </c>
      <c r="L192" s="3">
        <v>0</v>
      </c>
      <c r="M192" s="3">
        <v>0</v>
      </c>
      <c r="N192" s="3">
        <v>0</v>
      </c>
      <c r="O192" s="3">
        <v>0</v>
      </c>
      <c r="P192" s="3">
        <v>0</v>
      </c>
      <c r="Q192" s="3">
        <f t="shared" si="2"/>
        <v>0</v>
      </c>
    </row>
    <row r="193" spans="1:17" x14ac:dyDescent="0.2">
      <c r="A193" t="s">
        <v>705</v>
      </c>
      <c r="B193" t="s">
        <v>706</v>
      </c>
      <c r="C193" t="s">
        <v>707</v>
      </c>
      <c r="D193" s="2">
        <v>1588030000000</v>
      </c>
      <c r="E193" t="s">
        <v>708</v>
      </c>
      <c r="F193" s="2">
        <v>1607550000000</v>
      </c>
      <c r="H193" s="3">
        <v>0</v>
      </c>
      <c r="I193" s="3">
        <v>0</v>
      </c>
      <c r="J193" s="3">
        <v>0</v>
      </c>
      <c r="K193" s="3">
        <v>0</v>
      </c>
      <c r="L193" s="3">
        <v>0</v>
      </c>
      <c r="M193" s="3">
        <v>0</v>
      </c>
      <c r="N193" s="3">
        <v>0</v>
      </c>
      <c r="O193" s="3">
        <v>0</v>
      </c>
      <c r="P193" s="3">
        <v>0</v>
      </c>
      <c r="Q193" s="3">
        <f t="shared" si="2"/>
        <v>0</v>
      </c>
    </row>
    <row r="194" spans="1:17" x14ac:dyDescent="0.2">
      <c r="Q194" s="3">
        <f>SUM(Q2:Q193)</f>
        <v>548480573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M193"/>
  <sheetViews>
    <sheetView topLeftCell="A72" workbookViewId="0">
      <selection activeCell="A114" sqref="A114:XFD114"/>
    </sheetView>
  </sheetViews>
  <sheetFormatPr baseColWidth="10" defaultRowHeight="16" x14ac:dyDescent="0.2"/>
  <cols>
    <col min="1" max="1" width="25.5" bestFit="1" customWidth="1"/>
    <col min="2" max="2" width="56" bestFit="1" customWidth="1"/>
    <col min="3" max="3" width="14.1640625" style="3" bestFit="1" customWidth="1"/>
    <col min="4" max="4" width="16.5" style="3" bestFit="1" customWidth="1"/>
    <col min="5" max="5" width="17.1640625" style="3" bestFit="1" customWidth="1"/>
    <col min="6" max="6" width="17.33203125" style="3" bestFit="1" customWidth="1"/>
    <col min="7" max="7" width="18.83203125" style="3" bestFit="1" customWidth="1"/>
    <col min="8" max="8" width="26.6640625" style="3" bestFit="1" customWidth="1"/>
    <col min="9" max="9" width="19" style="3" bestFit="1" customWidth="1"/>
    <col min="10" max="10" width="19.5" style="3" bestFit="1" customWidth="1"/>
    <col min="11" max="11" width="16" style="3" bestFit="1" customWidth="1"/>
    <col min="12" max="12" width="17.1640625" bestFit="1" customWidth="1"/>
    <col min="13" max="13" width="14.33203125" style="4" bestFit="1" customWidth="1"/>
  </cols>
  <sheetData>
    <row r="1" spans="1:13" x14ac:dyDescent="0.2">
      <c r="A1" t="s">
        <v>0</v>
      </c>
      <c r="B1" t="s">
        <v>1</v>
      </c>
      <c r="C1" s="3" t="s">
        <v>862</v>
      </c>
      <c r="D1" s="3" t="s">
        <v>863</v>
      </c>
      <c r="E1" s="3" t="s">
        <v>864</v>
      </c>
      <c r="F1" s="3" t="s">
        <v>865</v>
      </c>
      <c r="G1" s="3" t="s">
        <v>849</v>
      </c>
      <c r="H1" s="3" t="s">
        <v>850</v>
      </c>
      <c r="I1" s="3" t="s">
        <v>851</v>
      </c>
      <c r="J1" s="3" t="s">
        <v>852</v>
      </c>
      <c r="K1" s="3" t="s">
        <v>853</v>
      </c>
      <c r="L1" s="3" t="s">
        <v>866</v>
      </c>
      <c r="M1" s="4" t="s">
        <v>867</v>
      </c>
    </row>
    <row r="2" spans="1:13" x14ac:dyDescent="0.2">
      <c r="A2" t="s">
        <v>655</v>
      </c>
      <c r="B2" t="s">
        <v>656</v>
      </c>
      <c r="C2" s="3">
        <v>0</v>
      </c>
      <c r="D2" s="3">
        <v>0</v>
      </c>
      <c r="E2" s="3">
        <v>0</v>
      </c>
      <c r="F2" s="3">
        <v>0</v>
      </c>
      <c r="G2" s="3">
        <v>0</v>
      </c>
      <c r="H2" s="3">
        <v>0</v>
      </c>
      <c r="I2" s="3">
        <v>0</v>
      </c>
      <c r="J2" s="3">
        <v>0</v>
      </c>
      <c r="K2" s="3">
        <v>0</v>
      </c>
      <c r="L2" s="3">
        <f>SUM(C2:K2)</f>
        <v>0</v>
      </c>
      <c r="M2" s="4">
        <f>CONVERT(Table7[[#This Row],[Estimation Total]],"byte","Gibyte")</f>
        <v>0</v>
      </c>
    </row>
    <row r="3" spans="1:13" x14ac:dyDescent="0.2">
      <c r="A3" t="s">
        <v>696</v>
      </c>
      <c r="B3" t="s">
        <v>697</v>
      </c>
      <c r="C3" s="3">
        <v>0</v>
      </c>
      <c r="D3" s="3">
        <v>0</v>
      </c>
      <c r="E3" s="3">
        <v>0</v>
      </c>
      <c r="F3" s="3">
        <v>0</v>
      </c>
      <c r="G3" s="3">
        <v>0</v>
      </c>
      <c r="H3" s="3">
        <v>0</v>
      </c>
      <c r="I3" s="3">
        <v>0</v>
      </c>
      <c r="J3" s="3">
        <v>0</v>
      </c>
      <c r="K3" s="3">
        <v>0</v>
      </c>
      <c r="L3" s="3">
        <f>SUM(C3:K3)</f>
        <v>0</v>
      </c>
      <c r="M3" s="4">
        <f>CONVERT(Table7[[#This Row],[Estimation Total]],"byte","Gibyte")</f>
        <v>0</v>
      </c>
    </row>
    <row r="4" spans="1:13" x14ac:dyDescent="0.2">
      <c r="A4" t="s">
        <v>591</v>
      </c>
      <c r="B4" t="s">
        <v>592</v>
      </c>
      <c r="C4" s="3">
        <v>859843377</v>
      </c>
      <c r="D4" s="3">
        <v>3824889018</v>
      </c>
      <c r="E4" s="3">
        <v>3010085190</v>
      </c>
      <c r="F4" s="3">
        <v>0</v>
      </c>
      <c r="G4" s="3">
        <v>0</v>
      </c>
      <c r="H4" s="3">
        <v>0</v>
      </c>
      <c r="I4" s="3">
        <v>26207382</v>
      </c>
      <c r="J4" s="3">
        <v>0</v>
      </c>
      <c r="K4" s="3">
        <v>692952880</v>
      </c>
      <c r="L4" s="3">
        <f>SUM(C4:K4)</f>
        <v>8413977847</v>
      </c>
      <c r="M4" s="4">
        <f>CONVERT(Table7[[#This Row],[Estimation Total]],"byte","Gibyte")</f>
        <v>7.8361275112256408</v>
      </c>
    </row>
    <row r="5" spans="1:13" x14ac:dyDescent="0.2">
      <c r="A5" t="s">
        <v>31</v>
      </c>
      <c r="B5" t="s">
        <v>32</v>
      </c>
      <c r="C5" s="3">
        <v>222790383</v>
      </c>
      <c r="D5" s="3">
        <v>763532496</v>
      </c>
      <c r="E5" s="3">
        <v>124759881</v>
      </c>
      <c r="F5" s="3">
        <v>0</v>
      </c>
      <c r="G5" s="3">
        <v>0</v>
      </c>
      <c r="H5" s="3">
        <v>0</v>
      </c>
      <c r="I5" s="3">
        <v>7885168</v>
      </c>
      <c r="J5" s="3">
        <v>624</v>
      </c>
      <c r="K5" s="3">
        <v>203180670</v>
      </c>
      <c r="L5" s="3">
        <f>SUM(C5:K5)</f>
        <v>1322149222</v>
      </c>
      <c r="M5" s="4">
        <f>CONVERT(Table7[[#This Row],[Estimation Total]],"byte","Gibyte")</f>
        <v>1.2313474174588919</v>
      </c>
    </row>
    <row r="6" spans="1:13" x14ac:dyDescent="0.2">
      <c r="A6" t="s">
        <v>430</v>
      </c>
      <c r="B6" t="s">
        <v>431</v>
      </c>
      <c r="C6" s="3">
        <v>34567524</v>
      </c>
      <c r="D6" s="3">
        <v>67036230</v>
      </c>
      <c r="E6" s="3">
        <v>595136565</v>
      </c>
      <c r="F6" s="3">
        <v>0</v>
      </c>
      <c r="G6" s="3">
        <v>574308</v>
      </c>
      <c r="H6" s="3">
        <v>440921481</v>
      </c>
      <c r="I6" s="3">
        <v>447672312</v>
      </c>
      <c r="J6" s="3">
        <v>0</v>
      </c>
      <c r="K6" s="3">
        <v>16453688</v>
      </c>
      <c r="L6" s="3">
        <f>SUM(C6:K6)</f>
        <v>1602362108</v>
      </c>
      <c r="M6" s="4">
        <f>CONVERT(Table7[[#This Row],[Estimation Total]],"byte","Gibyte")</f>
        <v>1.4923160038888454</v>
      </c>
    </row>
    <row r="7" spans="1:13" x14ac:dyDescent="0.2">
      <c r="A7" t="s">
        <v>349</v>
      </c>
      <c r="B7" t="s">
        <v>350</v>
      </c>
      <c r="C7" s="3">
        <v>105363270</v>
      </c>
      <c r="D7" s="3">
        <v>234896364</v>
      </c>
      <c r="E7" s="3">
        <v>212007618</v>
      </c>
      <c r="F7" s="3">
        <v>0</v>
      </c>
      <c r="G7" s="3">
        <v>353934</v>
      </c>
      <c r="H7" s="3">
        <v>182347099</v>
      </c>
      <c r="I7" s="3">
        <v>63769946</v>
      </c>
      <c r="J7" s="3">
        <v>0</v>
      </c>
      <c r="K7" s="3">
        <v>69249456</v>
      </c>
      <c r="L7" s="3">
        <f>SUM(C7:K7)</f>
        <v>867987687</v>
      </c>
      <c r="M7" s="4">
        <f>CONVERT(Table7[[#This Row],[Estimation Total]],"byte","Gibyte")</f>
        <v>0.80837652739137411</v>
      </c>
    </row>
    <row r="8" spans="1:13" x14ac:dyDescent="0.2">
      <c r="A8" t="s">
        <v>700</v>
      </c>
      <c r="B8" t="s">
        <v>701</v>
      </c>
      <c r="C8" s="3">
        <v>0</v>
      </c>
      <c r="D8" s="3">
        <v>0</v>
      </c>
      <c r="E8" s="3">
        <v>0</v>
      </c>
      <c r="F8" s="3">
        <v>0</v>
      </c>
      <c r="G8" s="3">
        <v>0</v>
      </c>
      <c r="H8" s="3">
        <v>0</v>
      </c>
      <c r="I8" s="3">
        <v>0</v>
      </c>
      <c r="J8" s="3">
        <v>0</v>
      </c>
      <c r="K8" s="3">
        <v>0</v>
      </c>
      <c r="L8" s="3">
        <f>SUM(C8:K8)</f>
        <v>0</v>
      </c>
      <c r="M8" s="4">
        <f>CONVERT(Table7[[#This Row],[Estimation Total]],"byte","Gibyte")</f>
        <v>0</v>
      </c>
    </row>
    <row r="9" spans="1:13" x14ac:dyDescent="0.2">
      <c r="A9" t="s">
        <v>778</v>
      </c>
      <c r="B9" t="s">
        <v>779</v>
      </c>
      <c r="C9" s="3">
        <v>0</v>
      </c>
      <c r="D9" s="3">
        <v>0</v>
      </c>
      <c r="E9" s="3">
        <v>0</v>
      </c>
      <c r="F9" s="3">
        <v>0</v>
      </c>
      <c r="G9" s="3">
        <v>0</v>
      </c>
      <c r="H9" s="3">
        <v>0</v>
      </c>
      <c r="I9" s="3">
        <v>0</v>
      </c>
      <c r="J9" s="3">
        <v>0</v>
      </c>
      <c r="K9" s="3">
        <v>0</v>
      </c>
      <c r="L9" s="3">
        <f>SUM(C9:K9)</f>
        <v>0</v>
      </c>
      <c r="M9" s="4">
        <f>CONVERT(Table7[[#This Row],[Estimation Total]],"byte","Gibyte")</f>
        <v>0</v>
      </c>
    </row>
    <row r="10" spans="1:13" x14ac:dyDescent="0.2">
      <c r="A10" t="s">
        <v>750</v>
      </c>
      <c r="B10" t="s">
        <v>751</v>
      </c>
      <c r="C10" s="3">
        <v>146076192</v>
      </c>
      <c r="D10" s="3">
        <v>3859803537</v>
      </c>
      <c r="E10" s="3">
        <v>254180952</v>
      </c>
      <c r="F10" s="3">
        <v>0</v>
      </c>
      <c r="G10" s="3">
        <v>2145864</v>
      </c>
      <c r="H10" s="3">
        <v>240399125</v>
      </c>
      <c r="I10" s="3">
        <v>196872662</v>
      </c>
      <c r="J10" s="3">
        <v>14664</v>
      </c>
      <c r="K10" s="3">
        <v>909074350</v>
      </c>
      <c r="L10" s="3">
        <f>SUM(C10:K10)</f>
        <v>5608567346</v>
      </c>
      <c r="M10" s="4">
        <f>CONVERT(Table7[[#This Row],[Estimation Total]],"byte","Gibyte")</f>
        <v>5.2233853805810213</v>
      </c>
    </row>
    <row r="11" spans="1:13" x14ac:dyDescent="0.2">
      <c r="A11" t="s">
        <v>786</v>
      </c>
      <c r="B11" t="s">
        <v>787</v>
      </c>
      <c r="C11" s="3">
        <v>255492</v>
      </c>
      <c r="D11" s="3">
        <v>4725384</v>
      </c>
      <c r="E11" s="3">
        <v>33532740</v>
      </c>
      <c r="F11" s="3">
        <v>0</v>
      </c>
      <c r="G11" s="3">
        <v>11130</v>
      </c>
      <c r="H11" s="3">
        <v>35012222</v>
      </c>
      <c r="I11" s="3">
        <v>8101200</v>
      </c>
      <c r="J11" s="3">
        <v>0</v>
      </c>
      <c r="K11" s="3">
        <v>1137375</v>
      </c>
      <c r="L11" s="3">
        <f>SUM(C11:K11)</f>
        <v>82775543</v>
      </c>
      <c r="M11" s="4">
        <f>CONVERT(Table7[[#This Row],[Estimation Total]],"byte","Gibyte")</f>
        <v>7.709073182195425E-2</v>
      </c>
    </row>
    <row r="12" spans="1:13" x14ac:dyDescent="0.2">
      <c r="A12" t="s">
        <v>150</v>
      </c>
      <c r="B12" t="s">
        <v>151</v>
      </c>
      <c r="C12" s="3">
        <v>440669340</v>
      </c>
      <c r="D12" s="3">
        <v>3468674901</v>
      </c>
      <c r="E12" s="3">
        <v>106212519</v>
      </c>
      <c r="F12" s="3">
        <v>885</v>
      </c>
      <c r="G12" s="3">
        <v>4741380</v>
      </c>
      <c r="H12" s="3">
        <v>88115456</v>
      </c>
      <c r="I12" s="3">
        <v>130658854</v>
      </c>
      <c r="J12" s="3">
        <v>0</v>
      </c>
      <c r="K12" s="3">
        <v>1312910549</v>
      </c>
      <c r="L12" s="3">
        <f>SUM(C12:K12)</f>
        <v>5551983884</v>
      </c>
      <c r="M12" s="4">
        <f>CONVERT(Table7[[#This Row],[Estimation Total]],"byte","Gibyte")</f>
        <v>5.1706879250705242</v>
      </c>
    </row>
    <row r="13" spans="1:13" x14ac:dyDescent="0.2">
      <c r="A13" t="s">
        <v>825</v>
      </c>
      <c r="B13" t="s">
        <v>826</v>
      </c>
      <c r="C13" s="3">
        <v>43210764</v>
      </c>
      <c r="D13" s="3">
        <v>8992665</v>
      </c>
      <c r="E13" s="3">
        <v>764024697</v>
      </c>
      <c r="F13" s="3">
        <v>0</v>
      </c>
      <c r="G13" s="3">
        <v>961632</v>
      </c>
      <c r="H13" s="3">
        <v>626946476</v>
      </c>
      <c r="I13" s="3">
        <v>231140738</v>
      </c>
      <c r="J13" s="3">
        <v>29952</v>
      </c>
      <c r="K13" s="3">
        <v>20494655</v>
      </c>
      <c r="L13" s="3">
        <f>SUM(C13:K13)</f>
        <v>1695801579</v>
      </c>
      <c r="M13" s="4">
        <f>CONVERT(Table7[[#This Row],[Estimation Total]],"byte","Gibyte")</f>
        <v>1.5793382925912738</v>
      </c>
    </row>
    <row r="14" spans="1:13" x14ac:dyDescent="0.2">
      <c r="A14" t="s">
        <v>634</v>
      </c>
      <c r="B14" t="s">
        <v>635</v>
      </c>
      <c r="C14" s="3">
        <v>484117929</v>
      </c>
      <c r="D14" s="3">
        <v>2031529194</v>
      </c>
      <c r="E14" s="3">
        <v>155224584</v>
      </c>
      <c r="F14" s="3">
        <v>0</v>
      </c>
      <c r="G14" s="3">
        <v>0</v>
      </c>
      <c r="H14" s="3">
        <v>0</v>
      </c>
      <c r="I14" s="3">
        <v>16999018</v>
      </c>
      <c r="J14" s="3">
        <v>0</v>
      </c>
      <c r="K14" s="3">
        <v>1037269150</v>
      </c>
      <c r="L14" s="3">
        <f>SUM(C14:K14)</f>
        <v>3725139875</v>
      </c>
      <c r="M14" s="4">
        <f>CONVERT(Table7[[#This Row],[Estimation Total]],"byte","Gibyte")</f>
        <v>3.4693068591877818</v>
      </c>
    </row>
    <row r="15" spans="1:13" x14ac:dyDescent="0.2">
      <c r="A15" t="s">
        <v>218</v>
      </c>
      <c r="B15" t="s">
        <v>219</v>
      </c>
      <c r="C15" s="3">
        <v>139766355</v>
      </c>
      <c r="D15" s="3">
        <v>257411169</v>
      </c>
      <c r="E15" s="3">
        <v>437017869</v>
      </c>
      <c r="F15" s="3">
        <v>0</v>
      </c>
      <c r="G15" s="3">
        <v>164724</v>
      </c>
      <c r="H15" s="3">
        <v>481758643</v>
      </c>
      <c r="I15" s="3">
        <v>118588066</v>
      </c>
      <c r="J15" s="3">
        <v>0</v>
      </c>
      <c r="K15" s="3">
        <v>59003645</v>
      </c>
      <c r="L15" s="3">
        <f>SUM(C15:K15)</f>
        <v>1493710471</v>
      </c>
      <c r="M15" s="4">
        <f>CONVERT(Table7[[#This Row],[Estimation Total]],"byte","Gibyte")</f>
        <v>1.3911262815818191</v>
      </c>
    </row>
    <row r="16" spans="1:13" x14ac:dyDescent="0.2">
      <c r="A16" t="s">
        <v>774</v>
      </c>
      <c r="B16" t="s">
        <v>775</v>
      </c>
      <c r="C16" s="3">
        <v>1359</v>
      </c>
      <c r="D16" s="3">
        <v>2946</v>
      </c>
      <c r="E16" s="3">
        <v>13914</v>
      </c>
      <c r="F16" s="3">
        <v>0</v>
      </c>
      <c r="G16" s="3">
        <v>0</v>
      </c>
      <c r="H16" s="3">
        <v>0</v>
      </c>
      <c r="I16" s="3">
        <v>0</v>
      </c>
      <c r="J16" s="3">
        <v>0</v>
      </c>
      <c r="K16" s="3">
        <v>3370</v>
      </c>
      <c r="L16" s="3">
        <f>SUM(C16:K16)</f>
        <v>21589</v>
      </c>
      <c r="M16" s="4">
        <f>CONVERT(Table7[[#This Row],[Estimation Total]],"byte","Gibyte")</f>
        <v>2.0106323063373566E-5</v>
      </c>
    </row>
    <row r="17" spans="1:13" x14ac:dyDescent="0.2">
      <c r="A17" s="1" t="s">
        <v>64</v>
      </c>
      <c r="B17" t="s">
        <v>65</v>
      </c>
      <c r="C17" s="3">
        <v>1131224805</v>
      </c>
      <c r="D17" s="3">
        <v>2683775067</v>
      </c>
      <c r="E17" s="3">
        <v>4144521438</v>
      </c>
      <c r="F17" s="3">
        <v>295</v>
      </c>
      <c r="G17" s="3">
        <v>6637932</v>
      </c>
      <c r="H17" s="3">
        <v>4927410619</v>
      </c>
      <c r="I17" s="3">
        <v>955009962</v>
      </c>
      <c r="J17" s="3">
        <v>243048</v>
      </c>
      <c r="K17" s="3">
        <v>642728422</v>
      </c>
      <c r="L17" s="3">
        <f>SUM(C17:K17)</f>
        <v>14491551588</v>
      </c>
      <c r="M17" s="4">
        <f>CONVERT(Table7[[#This Row],[Estimation Total]],"byte","Gibyte")</f>
        <v>13.496309135109186</v>
      </c>
    </row>
    <row r="18" spans="1:13" x14ac:dyDescent="0.2">
      <c r="A18" t="s">
        <v>123</v>
      </c>
      <c r="B18" t="s">
        <v>124</v>
      </c>
      <c r="C18" s="3">
        <v>304660620</v>
      </c>
      <c r="D18" s="3">
        <v>612949179</v>
      </c>
      <c r="E18" s="3">
        <v>406845360</v>
      </c>
      <c r="F18" s="3">
        <v>0</v>
      </c>
      <c r="G18" s="3">
        <v>28938</v>
      </c>
      <c r="H18" s="3">
        <v>438256932</v>
      </c>
      <c r="I18" s="3">
        <v>161443414</v>
      </c>
      <c r="J18" s="3">
        <v>14664</v>
      </c>
      <c r="K18" s="3">
        <v>153856676</v>
      </c>
      <c r="L18" s="3">
        <f>SUM(C18:K18)</f>
        <v>2078055783</v>
      </c>
      <c r="M18" s="4">
        <f>CONVERT(Table7[[#This Row],[Estimation Total]],"byte","Gibyte")</f>
        <v>1.9353402620181441</v>
      </c>
    </row>
    <row r="19" spans="1:13" x14ac:dyDescent="0.2">
      <c r="A19" t="s">
        <v>173</v>
      </c>
      <c r="B19" t="s">
        <v>174</v>
      </c>
      <c r="C19" s="3">
        <v>43178148</v>
      </c>
      <c r="D19" s="3">
        <v>84665094</v>
      </c>
      <c r="E19" s="3">
        <v>354570462</v>
      </c>
      <c r="F19" s="3">
        <v>22029715</v>
      </c>
      <c r="G19" s="3">
        <v>547596</v>
      </c>
      <c r="H19" s="3">
        <v>319016559</v>
      </c>
      <c r="I19" s="3">
        <v>62905818</v>
      </c>
      <c r="J19" s="3">
        <v>74880</v>
      </c>
      <c r="K19" s="3">
        <v>23281645</v>
      </c>
      <c r="L19" s="3">
        <f>SUM(C19:K19)</f>
        <v>910269917</v>
      </c>
      <c r="M19" s="4">
        <f>CONVERT(Table7[[#This Row],[Estimation Total]],"byte","Gibyte")</f>
        <v>0.84775492269545794</v>
      </c>
    </row>
    <row r="20" spans="1:13" x14ac:dyDescent="0.2">
      <c r="A20" t="s">
        <v>127</v>
      </c>
      <c r="B20" t="s">
        <v>128</v>
      </c>
      <c r="C20" s="3">
        <v>75618837</v>
      </c>
      <c r="D20" s="3">
        <v>116006115</v>
      </c>
      <c r="E20" s="3">
        <v>432405378</v>
      </c>
      <c r="F20" s="3">
        <v>0</v>
      </c>
      <c r="G20" s="3">
        <v>95718</v>
      </c>
      <c r="H20" s="3">
        <v>445562177</v>
      </c>
      <c r="I20" s="3">
        <v>130780372</v>
      </c>
      <c r="J20" s="3">
        <v>8736</v>
      </c>
      <c r="K20" s="3">
        <v>26557285</v>
      </c>
      <c r="L20" s="3">
        <f>SUM(C20:K20)</f>
        <v>1227034618</v>
      </c>
      <c r="M20" s="4">
        <f>CONVERT(Table7[[#This Row],[Estimation Total]],"byte","Gibyte")</f>
        <v>1.1427650395780802</v>
      </c>
    </row>
    <row r="21" spans="1:13" x14ac:dyDescent="0.2">
      <c r="A21" t="s">
        <v>478</v>
      </c>
      <c r="B21" t="s">
        <v>479</v>
      </c>
      <c r="C21" s="3">
        <v>145493181</v>
      </c>
      <c r="D21" s="3">
        <v>262297110</v>
      </c>
      <c r="E21" s="3">
        <v>434450736</v>
      </c>
      <c r="F21" s="3">
        <v>0</v>
      </c>
      <c r="G21" s="3">
        <v>0</v>
      </c>
      <c r="H21" s="3">
        <v>201942486</v>
      </c>
      <c r="I21" s="3">
        <v>102736718</v>
      </c>
      <c r="J21" s="3">
        <v>0</v>
      </c>
      <c r="K21" s="3">
        <v>80610400</v>
      </c>
      <c r="L21" s="3">
        <f>SUM(C21:K21)</f>
        <v>1227530631</v>
      </c>
      <c r="M21" s="4">
        <f>CONVERT(Table7[[#This Row],[Estimation Total]],"byte","Gibyte")</f>
        <v>1.1432269876822829</v>
      </c>
    </row>
    <row r="22" spans="1:13" x14ac:dyDescent="0.2">
      <c r="A22" t="s">
        <v>629</v>
      </c>
      <c r="B22" t="s">
        <v>630</v>
      </c>
      <c r="C22" s="3">
        <v>0</v>
      </c>
      <c r="D22" s="3">
        <v>0</v>
      </c>
      <c r="E22" s="3">
        <v>0</v>
      </c>
      <c r="F22" s="3">
        <v>0</v>
      </c>
      <c r="G22" s="3">
        <v>0</v>
      </c>
      <c r="H22" s="3">
        <v>0</v>
      </c>
      <c r="I22" s="3">
        <v>0</v>
      </c>
      <c r="J22" s="3">
        <v>0</v>
      </c>
      <c r="K22" s="3">
        <v>0</v>
      </c>
      <c r="L22" s="3">
        <f>SUM(C22:K22)</f>
        <v>0</v>
      </c>
      <c r="M22" s="4">
        <f>CONVERT(Table7[[#This Row],[Estimation Total]],"byte","Gibyte")</f>
        <v>0</v>
      </c>
    </row>
    <row r="23" spans="1:13" x14ac:dyDescent="0.2">
      <c r="A23" t="s">
        <v>190</v>
      </c>
      <c r="B23" t="s">
        <v>191</v>
      </c>
      <c r="C23" s="3">
        <v>459594774</v>
      </c>
      <c r="D23" s="3">
        <v>5922835782</v>
      </c>
      <c r="E23" s="3">
        <v>7122075696</v>
      </c>
      <c r="F23" s="3">
        <v>0</v>
      </c>
      <c r="G23" s="3">
        <v>1153068</v>
      </c>
      <c r="H23" s="3">
        <v>9960233396</v>
      </c>
      <c r="I23" s="3">
        <v>877657004</v>
      </c>
      <c r="J23" s="3">
        <v>0</v>
      </c>
      <c r="K23" s="3">
        <v>1488886220</v>
      </c>
      <c r="L23" s="3">
        <f>SUM(C23:K23)</f>
        <v>25832435940</v>
      </c>
      <c r="M23" s="4">
        <f>CONVERT(Table7[[#This Row],[Estimation Total]],"byte","Gibyte")</f>
        <v>24.058330748230219</v>
      </c>
    </row>
    <row r="24" spans="1:13" x14ac:dyDescent="0.2">
      <c r="A24" t="s">
        <v>520</v>
      </c>
      <c r="B24" t="s">
        <v>521</v>
      </c>
      <c r="C24" s="3">
        <v>169455069</v>
      </c>
      <c r="D24" s="3">
        <v>1435204293</v>
      </c>
      <c r="E24" s="3">
        <v>202706109</v>
      </c>
      <c r="F24" s="3">
        <v>0</v>
      </c>
      <c r="G24" s="3">
        <v>93492</v>
      </c>
      <c r="H24" s="3">
        <v>130815636</v>
      </c>
      <c r="I24" s="3">
        <v>29015798</v>
      </c>
      <c r="J24" s="3">
        <v>0</v>
      </c>
      <c r="K24" s="3">
        <v>371441737</v>
      </c>
      <c r="L24" s="3">
        <f>SUM(C24:K24)</f>
        <v>2338732134</v>
      </c>
      <c r="M24" s="4">
        <f>CONVERT(Table7[[#This Row],[Estimation Total]],"byte","Gibyte")</f>
        <v>2.1781140323728323</v>
      </c>
    </row>
    <row r="25" spans="1:13" x14ac:dyDescent="0.2">
      <c r="A25" t="s">
        <v>684</v>
      </c>
      <c r="B25" t="s">
        <v>685</v>
      </c>
      <c r="C25" s="3">
        <v>0</v>
      </c>
      <c r="D25" s="3">
        <v>0</v>
      </c>
      <c r="E25" s="3">
        <v>0</v>
      </c>
      <c r="F25" s="3">
        <v>0</v>
      </c>
      <c r="G25" s="3">
        <v>0</v>
      </c>
      <c r="H25" s="3">
        <v>0</v>
      </c>
      <c r="I25" s="3">
        <v>0</v>
      </c>
      <c r="J25" s="3">
        <v>0</v>
      </c>
      <c r="K25" s="3">
        <v>0</v>
      </c>
      <c r="L25" s="3">
        <f>SUM(C25:K25)</f>
        <v>0</v>
      </c>
      <c r="M25" s="4">
        <f>CONVERT(Table7[[#This Row],[Estimation Total]],"byte","Gibyte")</f>
        <v>0</v>
      </c>
    </row>
    <row r="26" spans="1:13" x14ac:dyDescent="0.2">
      <c r="A26" t="s">
        <v>735</v>
      </c>
      <c r="B26" t="s">
        <v>736</v>
      </c>
      <c r="C26" s="3">
        <v>17022834</v>
      </c>
      <c r="D26" s="3">
        <v>164495802</v>
      </c>
      <c r="E26" s="3">
        <v>15806304</v>
      </c>
      <c r="F26" s="3">
        <v>0</v>
      </c>
      <c r="G26" s="3">
        <v>0</v>
      </c>
      <c r="H26" s="3">
        <v>14174823</v>
      </c>
      <c r="I26" s="3">
        <v>2254834</v>
      </c>
      <c r="J26" s="3">
        <v>4056</v>
      </c>
      <c r="K26" s="3">
        <v>64334311</v>
      </c>
      <c r="L26" s="3">
        <f>SUM(C26:K26)</f>
        <v>278092964</v>
      </c>
      <c r="M26" s="4">
        <f>CONVERT(Table7[[#This Row],[Estimation Total]],"byte","Gibyte")</f>
        <v>0.25899425521492958</v>
      </c>
    </row>
    <row r="27" spans="1:13" x14ac:dyDescent="0.2">
      <c r="A27" t="s">
        <v>340</v>
      </c>
      <c r="B27" t="s">
        <v>341</v>
      </c>
      <c r="C27" s="3">
        <v>66456459</v>
      </c>
      <c r="D27" s="3">
        <v>1381693149</v>
      </c>
      <c r="E27" s="3">
        <v>7475880888</v>
      </c>
      <c r="F27" s="3">
        <v>5986140</v>
      </c>
      <c r="G27" s="3">
        <v>40128102</v>
      </c>
      <c r="H27" s="3">
        <v>4245163318</v>
      </c>
      <c r="I27" s="3">
        <v>62689786</v>
      </c>
      <c r="J27" s="3">
        <v>0</v>
      </c>
      <c r="K27" s="3">
        <v>14003698</v>
      </c>
      <c r="L27" s="3">
        <f>SUM(C27:K27)</f>
        <v>13292001540</v>
      </c>
      <c r="M27" s="4">
        <f>CONVERT(Table7[[#This Row],[Estimation Total]],"byte","Gibyte")</f>
        <v>12.379141096025705</v>
      </c>
    </row>
    <row r="28" spans="1:13" x14ac:dyDescent="0.2">
      <c r="A28" t="s">
        <v>397</v>
      </c>
      <c r="B28" t="s">
        <v>398</v>
      </c>
      <c r="C28" s="3">
        <v>59293170</v>
      </c>
      <c r="D28" s="3">
        <v>103895109</v>
      </c>
      <c r="E28" s="3">
        <v>321253389</v>
      </c>
      <c r="F28" s="3">
        <v>0</v>
      </c>
      <c r="G28" s="3">
        <v>0</v>
      </c>
      <c r="H28" s="3">
        <v>243939822</v>
      </c>
      <c r="I28" s="3">
        <v>85697194</v>
      </c>
      <c r="J28" s="3">
        <v>0</v>
      </c>
      <c r="K28" s="3">
        <v>24074606</v>
      </c>
      <c r="L28" s="3">
        <f>SUM(C28:K28)</f>
        <v>838153290</v>
      </c>
      <c r="M28" s="4">
        <f>CONVERT(Table7[[#This Row],[Estimation Total]],"byte","Gibyte")</f>
        <v>0.7805910799652338</v>
      </c>
    </row>
    <row r="29" spans="1:13" x14ac:dyDescent="0.2">
      <c r="A29" t="s">
        <v>790</v>
      </c>
      <c r="B29" t="s">
        <v>791</v>
      </c>
      <c r="C29" s="3">
        <v>6795</v>
      </c>
      <c r="D29" s="3">
        <v>7365</v>
      </c>
      <c r="E29" s="3">
        <v>34785</v>
      </c>
      <c r="F29" s="3">
        <v>0</v>
      </c>
      <c r="G29" s="3">
        <v>0</v>
      </c>
      <c r="H29" s="3">
        <v>12035</v>
      </c>
      <c r="I29" s="3">
        <v>0</v>
      </c>
      <c r="J29" s="3">
        <v>0</v>
      </c>
      <c r="K29" s="3">
        <v>1685</v>
      </c>
      <c r="L29" s="3">
        <f>SUM(C29:K29)</f>
        <v>62665</v>
      </c>
      <c r="M29" s="4">
        <f>CONVERT(Table7[[#This Row],[Estimation Total]],"byte","Gibyte")</f>
        <v>5.8361329138278961E-5</v>
      </c>
    </row>
    <row r="30" spans="1:13" x14ac:dyDescent="0.2">
      <c r="A30" t="s">
        <v>41</v>
      </c>
      <c r="B30" t="s">
        <v>42</v>
      </c>
      <c r="C30" s="3">
        <v>284734962</v>
      </c>
      <c r="D30" s="3">
        <v>952276824</v>
      </c>
      <c r="E30" s="3">
        <v>578432808</v>
      </c>
      <c r="F30" s="3">
        <v>295</v>
      </c>
      <c r="G30" s="3">
        <v>0</v>
      </c>
      <c r="H30" s="3">
        <v>0</v>
      </c>
      <c r="I30" s="3">
        <v>28516224</v>
      </c>
      <c r="J30" s="3">
        <v>5616</v>
      </c>
      <c r="K30" s="3">
        <v>411786366</v>
      </c>
      <c r="L30" s="3">
        <f>SUM(C30:K30)</f>
        <v>2255753095</v>
      </c>
      <c r="M30" s="4">
        <f>CONVERT(Table7[[#This Row],[Estimation Total]],"byte","Gibyte")</f>
        <v>2.1008337801322341</v>
      </c>
    </row>
    <row r="31" spans="1:13" x14ac:dyDescent="0.2">
      <c r="A31" t="s">
        <v>55</v>
      </c>
      <c r="B31" t="s">
        <v>56</v>
      </c>
      <c r="C31" s="3">
        <v>258324156</v>
      </c>
      <c r="D31" s="3">
        <v>2435933979</v>
      </c>
      <c r="E31" s="3">
        <v>1247459670</v>
      </c>
      <c r="F31" s="3">
        <v>0</v>
      </c>
      <c r="G31" s="3">
        <v>0</v>
      </c>
      <c r="H31" s="3">
        <v>0</v>
      </c>
      <c r="I31" s="3">
        <v>11989776</v>
      </c>
      <c r="J31" s="3">
        <v>2808</v>
      </c>
      <c r="K31" s="3">
        <v>654785945</v>
      </c>
      <c r="L31" s="3">
        <f>SUM(C31:K31)</f>
        <v>4608496334</v>
      </c>
      <c r="M31" s="4">
        <f>CONVERT(Table7[[#This Row],[Estimation Total]],"byte","Gibyte")</f>
        <v>4.2919966708868742</v>
      </c>
    </row>
    <row r="32" spans="1:13" x14ac:dyDescent="0.2">
      <c r="A32" t="s">
        <v>845</v>
      </c>
      <c r="B32" t="s">
        <v>846</v>
      </c>
      <c r="C32" s="3">
        <v>0</v>
      </c>
      <c r="D32" s="3">
        <v>0</v>
      </c>
      <c r="E32" s="3">
        <v>0</v>
      </c>
      <c r="F32" s="3">
        <v>0</v>
      </c>
      <c r="G32" s="3">
        <v>0</v>
      </c>
      <c r="H32" s="3">
        <v>0</v>
      </c>
      <c r="I32" s="3">
        <v>0</v>
      </c>
      <c r="J32" s="3">
        <v>0</v>
      </c>
      <c r="K32" s="3">
        <v>0</v>
      </c>
      <c r="L32" s="3">
        <f>SUM(C32:K32)</f>
        <v>0</v>
      </c>
      <c r="M32" s="4">
        <f>CONVERT(Table7[[#This Row],[Estimation Total]],"byte","Gibyte")</f>
        <v>0</v>
      </c>
    </row>
    <row r="33" spans="1:13" x14ac:dyDescent="0.2">
      <c r="A33" t="s">
        <v>280</v>
      </c>
      <c r="B33" t="s">
        <v>281</v>
      </c>
      <c r="C33" s="3">
        <v>105694866</v>
      </c>
      <c r="D33" s="3">
        <v>590755488</v>
      </c>
      <c r="E33" s="3">
        <v>719611209</v>
      </c>
      <c r="F33" s="3">
        <v>0</v>
      </c>
      <c r="G33" s="3">
        <v>173628</v>
      </c>
      <c r="H33" s="3">
        <v>401795696</v>
      </c>
      <c r="I33" s="3">
        <v>143958324</v>
      </c>
      <c r="J33" s="3">
        <v>0</v>
      </c>
      <c r="K33" s="3">
        <v>379183638</v>
      </c>
      <c r="L33" s="3">
        <f>SUM(C33:K33)</f>
        <v>2341172849</v>
      </c>
      <c r="M33" s="4">
        <f>CONVERT(Table7[[#This Row],[Estimation Total]],"byte","Gibyte")</f>
        <v>2.1803871253505349</v>
      </c>
    </row>
    <row r="34" spans="1:13" x14ac:dyDescent="0.2">
      <c r="A34" t="s">
        <v>194</v>
      </c>
      <c r="B34" t="s">
        <v>195</v>
      </c>
      <c r="C34" s="3">
        <v>2057526</v>
      </c>
      <c r="D34" s="3">
        <v>3359913</v>
      </c>
      <c r="E34" s="3">
        <v>62933022</v>
      </c>
      <c r="F34" s="3">
        <v>0</v>
      </c>
      <c r="G34" s="3">
        <v>93492</v>
      </c>
      <c r="H34" s="3">
        <v>54323583</v>
      </c>
      <c r="I34" s="3">
        <v>15945862</v>
      </c>
      <c r="J34" s="3">
        <v>0</v>
      </c>
      <c r="K34" s="3">
        <v>779481</v>
      </c>
      <c r="L34" s="3">
        <f>SUM(C34:K34)</f>
        <v>139492879</v>
      </c>
      <c r="M34" s="4">
        <f>CONVERT(Table7[[#This Row],[Estimation Total]],"byte","Gibyte")</f>
        <v>0.12991286721080542</v>
      </c>
    </row>
    <row r="35" spans="1:13" x14ac:dyDescent="0.2">
      <c r="A35" t="s">
        <v>243</v>
      </c>
      <c r="B35" t="s">
        <v>244</v>
      </c>
      <c r="C35" s="3">
        <v>63491121</v>
      </c>
      <c r="D35" s="3">
        <v>118124289</v>
      </c>
      <c r="E35" s="3">
        <v>379886985</v>
      </c>
      <c r="F35" s="3">
        <v>0</v>
      </c>
      <c r="G35" s="3">
        <v>189210</v>
      </c>
      <c r="H35" s="3">
        <v>339750457</v>
      </c>
      <c r="I35" s="3">
        <v>94865052</v>
      </c>
      <c r="J35" s="3">
        <v>0</v>
      </c>
      <c r="K35" s="3">
        <v>27025715</v>
      </c>
      <c r="L35" s="3">
        <f>SUM(C35:K35)</f>
        <v>1023332829</v>
      </c>
      <c r="M35" s="4">
        <f>CONVERT(Table7[[#This Row],[Estimation Total]],"byte","Gibyte")</f>
        <v>0.95305296499282122</v>
      </c>
    </row>
    <row r="36" spans="1:13" x14ac:dyDescent="0.2">
      <c r="A36" t="s">
        <v>709</v>
      </c>
      <c r="B36" t="s">
        <v>710</v>
      </c>
      <c r="C36" s="3">
        <v>28636848</v>
      </c>
      <c r="D36" s="3">
        <v>322367523</v>
      </c>
      <c r="E36" s="3">
        <v>887636673</v>
      </c>
      <c r="F36" s="3">
        <v>0</v>
      </c>
      <c r="G36" s="3">
        <v>3152016</v>
      </c>
      <c r="H36" s="3">
        <v>561449599</v>
      </c>
      <c r="I36" s="3">
        <v>0</v>
      </c>
      <c r="J36" s="3">
        <v>0</v>
      </c>
      <c r="K36" s="3">
        <v>0</v>
      </c>
      <c r="L36" s="3">
        <f>SUM(C36:K36)</f>
        <v>1803242659</v>
      </c>
      <c r="M36" s="4">
        <f>CONVERT(Table7[[#This Row],[Estimation Total]],"byte","Gibyte")</f>
        <v>1.6794005958363414</v>
      </c>
    </row>
    <row r="37" spans="1:13" x14ac:dyDescent="0.2">
      <c r="A37" t="s">
        <v>362</v>
      </c>
      <c r="B37" t="s">
        <v>363</v>
      </c>
      <c r="C37" s="3">
        <v>124942383</v>
      </c>
      <c r="D37" s="3">
        <v>270590100</v>
      </c>
      <c r="E37" s="3">
        <v>1511686530</v>
      </c>
      <c r="F37" s="3">
        <v>0</v>
      </c>
      <c r="G37" s="3">
        <v>1113000</v>
      </c>
      <c r="H37" s="3">
        <v>1747183532</v>
      </c>
      <c r="I37" s="3">
        <v>810660080</v>
      </c>
      <c r="J37" s="3">
        <v>0</v>
      </c>
      <c r="K37" s="3">
        <v>62671216</v>
      </c>
      <c r="L37" s="3">
        <f>SUM(C37:K37)</f>
        <v>4528846841</v>
      </c>
      <c r="M37" s="4">
        <f>CONVERT(Table7[[#This Row],[Estimation Total]],"byte","Gibyte")</f>
        <v>4.2178172999992967</v>
      </c>
    </row>
    <row r="38" spans="1:13" x14ac:dyDescent="0.2">
      <c r="A38" t="s">
        <v>45</v>
      </c>
      <c r="B38" t="s">
        <v>46</v>
      </c>
      <c r="C38" s="3">
        <v>21726333</v>
      </c>
      <c r="D38" s="3">
        <v>26711382</v>
      </c>
      <c r="E38" s="3">
        <v>122088393</v>
      </c>
      <c r="F38" s="3">
        <v>0</v>
      </c>
      <c r="G38" s="3">
        <v>42294</v>
      </c>
      <c r="H38" s="3">
        <v>74542383</v>
      </c>
      <c r="I38" s="3">
        <v>9856460</v>
      </c>
      <c r="J38" s="3">
        <v>7176</v>
      </c>
      <c r="K38" s="3">
        <v>6111158</v>
      </c>
      <c r="L38" s="3">
        <f>SUM(C38:K38)</f>
        <v>261085579</v>
      </c>
      <c r="M38" s="4">
        <f>CONVERT(Table7[[#This Row],[Estimation Total]],"byte","Gibyte")</f>
        <v>0.24315489362925291</v>
      </c>
    </row>
    <row r="39" spans="1:13" x14ac:dyDescent="0.2">
      <c r="A39" t="s">
        <v>208</v>
      </c>
      <c r="B39" t="s">
        <v>209</v>
      </c>
      <c r="C39" s="3">
        <v>545514831</v>
      </c>
      <c r="D39" s="3">
        <v>8434467231</v>
      </c>
      <c r="E39" s="3">
        <v>4183445853</v>
      </c>
      <c r="F39" s="3">
        <v>0</v>
      </c>
      <c r="G39" s="3">
        <v>171402</v>
      </c>
      <c r="H39" s="3">
        <v>312546543</v>
      </c>
      <c r="I39" s="3">
        <v>193362142</v>
      </c>
      <c r="J39" s="3">
        <v>0</v>
      </c>
      <c r="K39" s="3">
        <v>2095581591</v>
      </c>
      <c r="L39" s="3">
        <f>SUM(C39:K39)</f>
        <v>15765089593</v>
      </c>
      <c r="M39" s="4">
        <f>CONVERT(Table7[[#This Row],[Estimation Total]],"byte","Gibyte")</f>
        <v>14.682383828796446</v>
      </c>
    </row>
    <row r="40" spans="1:13" x14ac:dyDescent="0.2">
      <c r="A40" t="s">
        <v>604</v>
      </c>
      <c r="B40" t="s">
        <v>605</v>
      </c>
      <c r="C40" s="3">
        <v>33693687</v>
      </c>
      <c r="D40" s="3">
        <v>534852192</v>
      </c>
      <c r="E40" s="3">
        <v>170411715</v>
      </c>
      <c r="F40" s="3">
        <v>0</v>
      </c>
      <c r="G40" s="3">
        <v>24486</v>
      </c>
      <c r="H40" s="3">
        <v>50720304</v>
      </c>
      <c r="I40" s="3">
        <v>14960216</v>
      </c>
      <c r="J40" s="3">
        <v>0</v>
      </c>
      <c r="K40" s="3">
        <v>144294301</v>
      </c>
      <c r="L40" s="3">
        <f>SUM(C40:K40)</f>
        <v>948956901</v>
      </c>
      <c r="M40" s="4">
        <f>CONVERT(Table7[[#This Row],[Estimation Total]],"byte","Gibyte")</f>
        <v>0.88378498423844576</v>
      </c>
    </row>
    <row r="41" spans="1:13" x14ac:dyDescent="0.2">
      <c r="A41" t="s">
        <v>651</v>
      </c>
      <c r="B41" t="s">
        <v>652</v>
      </c>
      <c r="C41" s="3">
        <v>0</v>
      </c>
      <c r="D41" s="3">
        <v>0</v>
      </c>
      <c r="E41" s="3">
        <v>0</v>
      </c>
      <c r="F41" s="3">
        <v>0</v>
      </c>
      <c r="G41" s="3">
        <v>0</v>
      </c>
      <c r="H41" s="3">
        <v>0</v>
      </c>
      <c r="I41" s="3">
        <v>0</v>
      </c>
      <c r="J41" s="3">
        <v>0</v>
      </c>
      <c r="K41" s="3">
        <v>0</v>
      </c>
      <c r="L41" s="3">
        <f>SUM(C41:K41)</f>
        <v>0</v>
      </c>
      <c r="M41" s="4">
        <f>CONVERT(Table7[[#This Row],[Estimation Total]],"byte","Gibyte")</f>
        <v>0</v>
      </c>
    </row>
    <row r="42" spans="1:13" x14ac:dyDescent="0.2">
      <c r="A42" t="s">
        <v>253</v>
      </c>
      <c r="B42" t="s">
        <v>254</v>
      </c>
      <c r="C42" s="3">
        <v>204938559</v>
      </c>
      <c r="D42" s="3">
        <v>610187304</v>
      </c>
      <c r="E42" s="3">
        <v>89473977</v>
      </c>
      <c r="F42" s="3">
        <v>0</v>
      </c>
      <c r="G42" s="3">
        <v>0</v>
      </c>
      <c r="H42" s="3">
        <v>84245</v>
      </c>
      <c r="I42" s="3">
        <v>21292654</v>
      </c>
      <c r="J42" s="3">
        <v>0</v>
      </c>
      <c r="K42" s="3">
        <v>205941037</v>
      </c>
      <c r="L42" s="3">
        <f>SUM(C42:K42)</f>
        <v>1131917776</v>
      </c>
      <c r="M42" s="4">
        <f>CONVERT(Table7[[#This Row],[Estimation Total]],"byte","Gibyte")</f>
        <v>1.0541805773973465</v>
      </c>
    </row>
    <row r="43" spans="1:13" x14ac:dyDescent="0.2">
      <c r="A43" t="s">
        <v>159</v>
      </c>
      <c r="B43" t="s">
        <v>160</v>
      </c>
      <c r="C43" s="3">
        <v>414345510</v>
      </c>
      <c r="D43" s="3">
        <v>5961658170</v>
      </c>
      <c r="E43" s="3">
        <v>3156272631</v>
      </c>
      <c r="F43" s="3">
        <v>0</v>
      </c>
      <c r="G43" s="3">
        <v>0</v>
      </c>
      <c r="H43" s="3">
        <v>0</v>
      </c>
      <c r="I43" s="3">
        <v>144187858</v>
      </c>
      <c r="J43" s="3">
        <v>4368</v>
      </c>
      <c r="K43" s="3">
        <v>1471401986</v>
      </c>
      <c r="L43" s="3">
        <f>SUM(C43:K43)</f>
        <v>11147870523</v>
      </c>
      <c r="M43" s="4">
        <f>CONVERT(Table7[[#This Row],[Estimation Total]],"byte","Gibyte")</f>
        <v>10.382263476960361</v>
      </c>
    </row>
    <row r="44" spans="1:13" x14ac:dyDescent="0.2">
      <c r="A44" t="s">
        <v>581</v>
      </c>
      <c r="B44" t="s">
        <v>582</v>
      </c>
      <c r="C44" s="3">
        <v>114358491</v>
      </c>
      <c r="D44" s="3">
        <v>771469020</v>
      </c>
      <c r="E44" s="3">
        <v>180054117</v>
      </c>
      <c r="F44" s="3">
        <v>0</v>
      </c>
      <c r="G44" s="3">
        <v>0</v>
      </c>
      <c r="H44" s="3">
        <v>190153</v>
      </c>
      <c r="I44" s="3">
        <v>6062398</v>
      </c>
      <c r="J44" s="3">
        <v>0</v>
      </c>
      <c r="K44" s="3">
        <v>221463594</v>
      </c>
      <c r="L44" s="3">
        <f>SUM(C44:K44)</f>
        <v>1293597773</v>
      </c>
      <c r="M44" s="4">
        <f>CONVERT(Table7[[#This Row],[Estimation Total]],"byte","Gibyte")</f>
        <v>1.2047568084672093</v>
      </c>
    </row>
    <row r="45" spans="1:13" x14ac:dyDescent="0.2">
      <c r="A45" t="s">
        <v>674</v>
      </c>
      <c r="B45" t="s">
        <v>675</v>
      </c>
      <c r="C45" s="3">
        <v>0</v>
      </c>
      <c r="D45" s="3">
        <v>0</v>
      </c>
      <c r="E45" s="3">
        <v>0</v>
      </c>
      <c r="F45" s="3">
        <v>0</v>
      </c>
      <c r="G45" s="3">
        <v>0</v>
      </c>
      <c r="H45" s="3">
        <v>0</v>
      </c>
      <c r="I45" s="3">
        <v>0</v>
      </c>
      <c r="J45" s="3">
        <v>0</v>
      </c>
      <c r="K45" s="3">
        <v>0</v>
      </c>
      <c r="L45" s="3">
        <f>SUM(C45:K45)</f>
        <v>0</v>
      </c>
      <c r="M45" s="4">
        <f>CONVERT(Table7[[#This Row],[Estimation Total]],"byte","Gibyte")</f>
        <v>0</v>
      </c>
    </row>
    <row r="46" spans="1:13" x14ac:dyDescent="0.2">
      <c r="A46" t="s">
        <v>421</v>
      </c>
      <c r="B46" t="s">
        <v>422</v>
      </c>
      <c r="C46" s="3">
        <v>199291914</v>
      </c>
      <c r="D46" s="3">
        <v>1215244149</v>
      </c>
      <c r="E46" s="3">
        <v>155711574</v>
      </c>
      <c r="F46" s="3">
        <v>25328700</v>
      </c>
      <c r="G46" s="3">
        <v>195888</v>
      </c>
      <c r="H46" s="3">
        <v>76684613</v>
      </c>
      <c r="I46" s="3">
        <v>596464352</v>
      </c>
      <c r="J46" s="3">
        <v>0</v>
      </c>
      <c r="K46" s="3">
        <v>364101540</v>
      </c>
      <c r="L46" s="3">
        <f>SUM(C46:K46)</f>
        <v>2633022730</v>
      </c>
      <c r="M46" s="4">
        <f>CONVERT(Table7[[#This Row],[Estimation Total]],"byte","Gibyte")</f>
        <v>2.4521935079246759</v>
      </c>
    </row>
    <row r="47" spans="1:13" x14ac:dyDescent="0.2">
      <c r="A47" t="s">
        <v>722</v>
      </c>
      <c r="B47" t="s">
        <v>723</v>
      </c>
      <c r="C47" s="3">
        <v>5198175</v>
      </c>
      <c r="D47" s="3">
        <v>15216090</v>
      </c>
      <c r="E47" s="3">
        <v>76527</v>
      </c>
      <c r="F47" s="3">
        <v>0</v>
      </c>
      <c r="G47" s="3">
        <v>0</v>
      </c>
      <c r="H47" s="3">
        <v>0</v>
      </c>
      <c r="I47" s="3">
        <v>13502</v>
      </c>
      <c r="J47" s="3">
        <v>0</v>
      </c>
      <c r="K47" s="3">
        <v>8832433</v>
      </c>
      <c r="L47" s="3">
        <f>SUM(C47:K47)</f>
        <v>29336727</v>
      </c>
      <c r="M47" s="4">
        <f>CONVERT(Table7[[#This Row],[Estimation Total]],"byte","Gibyte")</f>
        <v>2.7321956120431423E-2</v>
      </c>
    </row>
    <row r="48" spans="1:13" x14ac:dyDescent="0.2">
      <c r="A48" t="s">
        <v>82</v>
      </c>
      <c r="B48" t="s">
        <v>83</v>
      </c>
      <c r="C48" s="3">
        <v>204859737</v>
      </c>
      <c r="D48" s="3">
        <v>1284906738</v>
      </c>
      <c r="E48" s="3">
        <v>1304437500</v>
      </c>
      <c r="F48" s="3">
        <v>0</v>
      </c>
      <c r="G48" s="3">
        <v>122430</v>
      </c>
      <c r="H48" s="3">
        <v>1369804444</v>
      </c>
      <c r="I48" s="3">
        <v>240902684</v>
      </c>
      <c r="J48" s="3">
        <v>2496</v>
      </c>
      <c r="K48" s="3">
        <v>302723056</v>
      </c>
      <c r="L48" s="3">
        <f>SUM(C48:K48)</f>
        <v>4707759085</v>
      </c>
      <c r="M48" s="4">
        <f>CONVERT(Table7[[#This Row],[Estimation Total]],"byte","Gibyte")</f>
        <v>4.3844423117116094</v>
      </c>
    </row>
    <row r="49" spans="1:13" x14ac:dyDescent="0.2">
      <c r="A49" t="s">
        <v>739</v>
      </c>
      <c r="B49" t="s">
        <v>740</v>
      </c>
      <c r="C49" s="3">
        <v>118233</v>
      </c>
      <c r="D49" s="3">
        <v>125205</v>
      </c>
      <c r="E49" s="3">
        <v>528732</v>
      </c>
      <c r="F49" s="3">
        <v>0</v>
      </c>
      <c r="G49" s="3">
        <v>0</v>
      </c>
      <c r="H49" s="3">
        <v>255142</v>
      </c>
      <c r="I49" s="3">
        <v>580586</v>
      </c>
      <c r="J49" s="3">
        <v>0</v>
      </c>
      <c r="K49" s="3">
        <v>27634</v>
      </c>
      <c r="L49" s="3">
        <f>SUM(C49:K49)</f>
        <v>1635532</v>
      </c>
      <c r="M49" s="4">
        <f>CONVERT(Table7[[#This Row],[Estimation Total]],"byte","Gibyte")</f>
        <v>1.5232078731060028E-3</v>
      </c>
    </row>
    <row r="50" spans="1:13" x14ac:dyDescent="0.2">
      <c r="A50" t="s">
        <v>474</v>
      </c>
      <c r="B50" t="s">
        <v>475</v>
      </c>
      <c r="C50" s="3">
        <v>5903496</v>
      </c>
      <c r="D50" s="3">
        <v>6497403</v>
      </c>
      <c r="E50" s="3">
        <v>1040120199</v>
      </c>
      <c r="F50" s="3">
        <v>7375</v>
      </c>
      <c r="G50" s="3">
        <v>249312</v>
      </c>
      <c r="H50" s="3">
        <v>2818597</v>
      </c>
      <c r="I50" s="3">
        <v>61380092</v>
      </c>
      <c r="J50" s="3">
        <v>0</v>
      </c>
      <c r="K50" s="3">
        <v>1656355</v>
      </c>
      <c r="L50" s="3">
        <f>SUM(C50:K50)</f>
        <v>1118632829</v>
      </c>
      <c r="M50" s="4">
        <f>CONVERT(Table7[[#This Row],[Estimation Total]],"byte","Gibyte")</f>
        <v>1.0418080063536763</v>
      </c>
    </row>
    <row r="51" spans="1:13" x14ac:dyDescent="0.2">
      <c r="A51" t="s">
        <v>841</v>
      </c>
      <c r="B51" t="s">
        <v>842</v>
      </c>
      <c r="C51" s="3">
        <v>0</v>
      </c>
      <c r="D51" s="3">
        <v>0</v>
      </c>
      <c r="E51" s="3">
        <v>0</v>
      </c>
      <c r="F51" s="3">
        <v>0</v>
      </c>
      <c r="G51" s="3">
        <v>0</v>
      </c>
      <c r="H51" s="3">
        <v>0</v>
      </c>
      <c r="I51" s="3">
        <v>0</v>
      </c>
      <c r="J51" s="3">
        <v>0</v>
      </c>
      <c r="K51" s="3">
        <v>0</v>
      </c>
      <c r="L51" s="3">
        <f>SUM(C51:K51)</f>
        <v>0</v>
      </c>
      <c r="M51" s="4">
        <f>CONVERT(Table7[[#This Row],[Estimation Total]],"byte","Gibyte")</f>
        <v>0</v>
      </c>
    </row>
    <row r="52" spans="1:13" x14ac:dyDescent="0.2">
      <c r="A52" t="s">
        <v>616</v>
      </c>
      <c r="B52" t="s">
        <v>617</v>
      </c>
      <c r="C52" s="3">
        <v>41407371</v>
      </c>
      <c r="D52" s="3">
        <v>654741135</v>
      </c>
      <c r="E52" s="3">
        <v>453032883</v>
      </c>
      <c r="F52" s="3">
        <v>0</v>
      </c>
      <c r="G52" s="3">
        <v>6604542</v>
      </c>
      <c r="H52" s="3">
        <v>358091797</v>
      </c>
      <c r="I52" s="3">
        <v>0</v>
      </c>
      <c r="J52" s="3">
        <v>0</v>
      </c>
      <c r="K52" s="3">
        <v>172952444</v>
      </c>
      <c r="L52" s="3">
        <f>SUM(C52:K52)</f>
        <v>1686830172</v>
      </c>
      <c r="M52" s="4">
        <f>CONVERT(Table7[[#This Row],[Estimation Total]],"byte","Gibyte")</f>
        <v>1.5709830187261105</v>
      </c>
    </row>
    <row r="53" spans="1:13" x14ac:dyDescent="0.2">
      <c r="A53" t="s">
        <v>374</v>
      </c>
      <c r="B53" t="s">
        <v>375</v>
      </c>
      <c r="C53" s="3">
        <v>225239301</v>
      </c>
      <c r="D53" s="3">
        <v>7493056728</v>
      </c>
      <c r="E53" s="3">
        <v>9243473706</v>
      </c>
      <c r="F53" s="3">
        <v>0</v>
      </c>
      <c r="G53" s="3">
        <v>45570672</v>
      </c>
      <c r="H53" s="3">
        <v>5829147436</v>
      </c>
      <c r="I53" s="3">
        <v>14258112</v>
      </c>
      <c r="J53" s="3">
        <v>0</v>
      </c>
      <c r="K53" s="3">
        <v>1824490703</v>
      </c>
      <c r="L53" s="3">
        <f>SUM(C53:K53)</f>
        <v>24675236658</v>
      </c>
      <c r="M53" s="4">
        <f>CONVERT(Table7[[#This Row],[Estimation Total]],"byte","Gibyte")</f>
        <v>22.980604933574796</v>
      </c>
    </row>
    <row r="54" spans="1:13" x14ac:dyDescent="0.2">
      <c r="A54" t="s">
        <v>746</v>
      </c>
      <c r="B54" t="s">
        <v>747</v>
      </c>
      <c r="C54" s="3">
        <v>0</v>
      </c>
      <c r="D54" s="3">
        <v>0</v>
      </c>
      <c r="E54" s="3">
        <v>0</v>
      </c>
      <c r="F54" s="3">
        <v>0</v>
      </c>
      <c r="G54" s="3">
        <v>0</v>
      </c>
      <c r="H54" s="3">
        <v>0</v>
      </c>
      <c r="I54" s="3">
        <v>0</v>
      </c>
      <c r="J54" s="3">
        <v>0</v>
      </c>
      <c r="K54" s="3">
        <v>0</v>
      </c>
      <c r="L54" s="3">
        <f>SUM(C54:K54)</f>
        <v>0</v>
      </c>
      <c r="M54" s="4">
        <f>CONVERT(Table7[[#This Row],[Estimation Total]],"byte","Gibyte")</f>
        <v>0</v>
      </c>
    </row>
    <row r="55" spans="1:13" x14ac:dyDescent="0.2">
      <c r="A55" t="s">
        <v>660</v>
      </c>
      <c r="B55" t="s">
        <v>661</v>
      </c>
      <c r="C55" s="3">
        <v>0</v>
      </c>
      <c r="D55" s="3">
        <v>0</v>
      </c>
      <c r="E55" s="3">
        <v>0</v>
      </c>
      <c r="F55" s="3">
        <v>0</v>
      </c>
      <c r="G55" s="3">
        <v>0</v>
      </c>
      <c r="H55" s="3">
        <v>0</v>
      </c>
      <c r="I55" s="3">
        <v>0</v>
      </c>
      <c r="J55" s="3">
        <v>0</v>
      </c>
      <c r="K55" s="3">
        <v>0</v>
      </c>
      <c r="L55" s="3">
        <f>SUM(C55:K55)</f>
        <v>0</v>
      </c>
      <c r="M55" s="4">
        <f>CONVERT(Table7[[#This Row],[Estimation Total]],"byte","Gibyte")</f>
        <v>0</v>
      </c>
    </row>
    <row r="56" spans="1:13" x14ac:dyDescent="0.2">
      <c r="A56" t="s">
        <v>336</v>
      </c>
      <c r="B56" t="s">
        <v>337</v>
      </c>
      <c r="C56" s="3">
        <v>1359</v>
      </c>
      <c r="D56" s="3">
        <v>1473</v>
      </c>
      <c r="E56" s="3">
        <v>0</v>
      </c>
      <c r="F56" s="3">
        <v>0</v>
      </c>
      <c r="G56" s="3">
        <v>0</v>
      </c>
      <c r="H56" s="3">
        <v>0</v>
      </c>
      <c r="I56" s="3">
        <v>0</v>
      </c>
      <c r="J56" s="3">
        <v>0</v>
      </c>
      <c r="K56" s="3">
        <v>337</v>
      </c>
      <c r="L56" s="3">
        <f>SUM(C56:K56)</f>
        <v>3169</v>
      </c>
      <c r="M56" s="4">
        <f>CONVERT(Table7[[#This Row],[Estimation Total]],"byte","Gibyte")</f>
        <v>2.9513612389564514E-6</v>
      </c>
    </row>
    <row r="57" spans="1:13" x14ac:dyDescent="0.2">
      <c r="A57" t="s">
        <v>231</v>
      </c>
      <c r="B57" t="s">
        <v>232</v>
      </c>
      <c r="C57" s="3">
        <v>58817520</v>
      </c>
      <c r="D57" s="3">
        <v>119800563</v>
      </c>
      <c r="E57" s="3">
        <v>593724294</v>
      </c>
      <c r="F57" s="3">
        <v>0</v>
      </c>
      <c r="G57" s="3">
        <v>26712</v>
      </c>
      <c r="H57" s="3">
        <v>114334907</v>
      </c>
      <c r="I57" s="3">
        <v>122368626</v>
      </c>
      <c r="J57" s="3">
        <v>0</v>
      </c>
      <c r="K57" s="3">
        <v>62153247</v>
      </c>
      <c r="L57" s="3">
        <f>SUM(C57:K57)</f>
        <v>1071225869</v>
      </c>
      <c r="M57" s="4">
        <f>CONVERT(Table7[[#This Row],[Estimation Total]],"byte","Gibyte")</f>
        <v>0.99765683431178331</v>
      </c>
    </row>
    <row r="58" spans="1:13" x14ac:dyDescent="0.2">
      <c r="A58" t="s">
        <v>60</v>
      </c>
      <c r="B58" t="s">
        <v>61</v>
      </c>
      <c r="C58" s="3">
        <v>1161730278</v>
      </c>
      <c r="D58" s="3">
        <v>10877288958</v>
      </c>
      <c r="E58" s="3">
        <v>6331969206</v>
      </c>
      <c r="F58" s="3">
        <v>590</v>
      </c>
      <c r="G58" s="3">
        <v>1186458</v>
      </c>
      <c r="H58" s="3">
        <v>4276755193</v>
      </c>
      <c r="I58" s="3">
        <v>776189474</v>
      </c>
      <c r="J58" s="3">
        <v>128856</v>
      </c>
      <c r="K58" s="3">
        <v>2825041007</v>
      </c>
      <c r="L58" s="3">
        <f>SUM(C58:K58)</f>
        <v>26250290020</v>
      </c>
      <c r="M58" s="4">
        <f>CONVERT(Table7[[#This Row],[Estimation Total]],"byte","Gibyte")</f>
        <v>24.447487685829401</v>
      </c>
    </row>
    <row r="59" spans="1:13" x14ac:dyDescent="0.2">
      <c r="A59" t="s">
        <v>577</v>
      </c>
      <c r="B59" t="s">
        <v>578</v>
      </c>
      <c r="C59" s="3">
        <v>77626080</v>
      </c>
      <c r="D59" s="3">
        <v>605956848</v>
      </c>
      <c r="E59" s="3">
        <v>175225959</v>
      </c>
      <c r="F59" s="3">
        <v>0</v>
      </c>
      <c r="G59" s="3">
        <v>0</v>
      </c>
      <c r="H59" s="3">
        <v>0</v>
      </c>
      <c r="I59" s="3">
        <v>2916432</v>
      </c>
      <c r="J59" s="3">
        <v>0</v>
      </c>
      <c r="K59" s="3">
        <v>159923350</v>
      </c>
      <c r="L59" s="3">
        <f>SUM(C59:K59)</f>
        <v>1021648669</v>
      </c>
      <c r="M59" s="4">
        <f>CONVERT(Table7[[#This Row],[Estimation Total]],"byte","Gibyte")</f>
        <v>0.95148446876555681</v>
      </c>
    </row>
    <row r="60" spans="1:13" x14ac:dyDescent="0.2">
      <c r="A60" t="s">
        <v>90</v>
      </c>
      <c r="B60" t="s">
        <v>91</v>
      </c>
      <c r="C60" s="3">
        <v>473519088</v>
      </c>
      <c r="D60" s="3">
        <v>17800942806</v>
      </c>
      <c r="E60" s="3">
        <v>2761309827</v>
      </c>
      <c r="F60" s="3">
        <v>0</v>
      </c>
      <c r="G60" s="3">
        <v>0</v>
      </c>
      <c r="H60" s="3">
        <v>0</v>
      </c>
      <c r="I60" s="3">
        <v>76394316</v>
      </c>
      <c r="J60" s="3">
        <v>17160</v>
      </c>
      <c r="K60" s="3">
        <v>4229712949</v>
      </c>
      <c r="L60" s="3">
        <f>SUM(C60:K60)</f>
        <v>25341896146</v>
      </c>
      <c r="M60" s="4">
        <f>CONVERT(Table7[[#This Row],[Estimation Total]],"byte","Gibyte")</f>
        <v>23.601479964330792</v>
      </c>
    </row>
    <row r="61" spans="1:13" x14ac:dyDescent="0.2">
      <c r="A61" t="s">
        <v>669</v>
      </c>
      <c r="B61" t="s">
        <v>670</v>
      </c>
      <c r="C61" s="3">
        <v>1990935</v>
      </c>
      <c r="D61" s="3">
        <v>2188878</v>
      </c>
      <c r="E61" s="3">
        <v>14665356</v>
      </c>
      <c r="F61" s="3">
        <v>0</v>
      </c>
      <c r="G61" s="3">
        <v>15582</v>
      </c>
      <c r="H61" s="3">
        <v>18721646</v>
      </c>
      <c r="I61" s="3">
        <v>8317232</v>
      </c>
      <c r="J61" s="3">
        <v>0</v>
      </c>
      <c r="K61" s="3">
        <v>500782</v>
      </c>
      <c r="L61" s="3">
        <f>SUM(C61:K61)</f>
        <v>46400411</v>
      </c>
      <c r="M61" s="4">
        <f>CONVERT(Table7[[#This Row],[Estimation Total]],"byte","Gibyte")</f>
        <v>4.321375023573637E-2</v>
      </c>
    </row>
    <row r="62" spans="1:13" x14ac:dyDescent="0.2">
      <c r="A62" t="s">
        <v>36</v>
      </c>
      <c r="B62" t="s">
        <v>37</v>
      </c>
      <c r="C62" s="3">
        <v>56795328</v>
      </c>
      <c r="D62" s="3">
        <v>617449194</v>
      </c>
      <c r="E62" s="3">
        <v>68561235</v>
      </c>
      <c r="F62" s="3">
        <v>0</v>
      </c>
      <c r="G62" s="3">
        <v>28938</v>
      </c>
      <c r="H62" s="3">
        <v>59732112</v>
      </c>
      <c r="I62" s="3">
        <v>19402374</v>
      </c>
      <c r="J62" s="3">
        <v>4680</v>
      </c>
      <c r="K62" s="3">
        <v>159766645</v>
      </c>
      <c r="L62" s="3">
        <f>SUM(C62:K62)</f>
        <v>981740506</v>
      </c>
      <c r="M62" s="4">
        <f>CONVERT(Table7[[#This Row],[Estimation Total]],"byte","Gibyte")</f>
        <v>0.91431709565222263</v>
      </c>
    </row>
    <row r="63" spans="1:13" x14ac:dyDescent="0.2">
      <c r="A63" t="s">
        <v>466</v>
      </c>
      <c r="B63" t="s">
        <v>467</v>
      </c>
      <c r="C63" s="3">
        <v>63511506</v>
      </c>
      <c r="D63" s="3">
        <v>276324489</v>
      </c>
      <c r="E63" s="3">
        <v>1128550626</v>
      </c>
      <c r="F63" s="3">
        <v>0</v>
      </c>
      <c r="G63" s="3">
        <v>1567104</v>
      </c>
      <c r="H63" s="3">
        <v>1259539774</v>
      </c>
      <c r="I63" s="3">
        <v>103209288</v>
      </c>
      <c r="J63" s="3">
        <v>0</v>
      </c>
      <c r="K63" s="3">
        <v>63621893</v>
      </c>
      <c r="L63" s="3">
        <f>SUM(C63:K63)</f>
        <v>2896324680</v>
      </c>
      <c r="M63" s="4">
        <f>CONVERT(Table7[[#This Row],[Estimation Total]],"byte","Gibyte")</f>
        <v>2.6974125578999519</v>
      </c>
    </row>
    <row r="64" spans="1:13" x14ac:dyDescent="0.2">
      <c r="A64" t="s">
        <v>837</v>
      </c>
      <c r="B64" t="s">
        <v>838</v>
      </c>
      <c r="C64" s="3">
        <v>0</v>
      </c>
      <c r="D64" s="3">
        <v>0</v>
      </c>
      <c r="E64" s="3">
        <v>0</v>
      </c>
      <c r="F64" s="3">
        <v>0</v>
      </c>
      <c r="G64" s="3">
        <v>0</v>
      </c>
      <c r="H64" s="3">
        <v>0</v>
      </c>
      <c r="I64" s="3">
        <v>0</v>
      </c>
      <c r="J64" s="3">
        <v>0</v>
      </c>
      <c r="K64" s="3">
        <v>0</v>
      </c>
      <c r="L64" s="3">
        <f>SUM(C64:K64)</f>
        <v>0</v>
      </c>
      <c r="M64" s="4">
        <f>CONVERT(Table7[[#This Row],[Estimation Total]],"byte","Gibyte")</f>
        <v>0</v>
      </c>
    </row>
    <row r="65" spans="1:13" x14ac:dyDescent="0.2">
      <c r="A65" t="s">
        <v>329</v>
      </c>
      <c r="B65" t="s">
        <v>330</v>
      </c>
      <c r="C65" s="3">
        <v>82557891</v>
      </c>
      <c r="D65" s="3">
        <v>231620412</v>
      </c>
      <c r="E65" s="3">
        <v>2775189042</v>
      </c>
      <c r="F65" s="3">
        <v>885</v>
      </c>
      <c r="G65" s="3">
        <v>429618</v>
      </c>
      <c r="H65" s="3">
        <v>763666483</v>
      </c>
      <c r="I65" s="3">
        <v>182168984</v>
      </c>
      <c r="J65" s="3">
        <v>0</v>
      </c>
      <c r="K65" s="3">
        <v>89552021</v>
      </c>
      <c r="L65" s="3">
        <f>SUM(C65:K65)</f>
        <v>4125185336</v>
      </c>
      <c r="M65" s="4">
        <f>CONVERT(Table7[[#This Row],[Estimation Total]],"byte","Gibyte")</f>
        <v>3.8418782278895378</v>
      </c>
    </row>
    <row r="66" spans="1:13" x14ac:dyDescent="0.2">
      <c r="A66" s="1" t="s">
        <v>743</v>
      </c>
      <c r="B66" t="s">
        <v>744</v>
      </c>
      <c r="C66" s="3">
        <v>6527277</v>
      </c>
      <c r="D66" s="3">
        <v>45782313</v>
      </c>
      <c r="E66" s="3">
        <v>730485</v>
      </c>
      <c r="F66" s="3">
        <v>0</v>
      </c>
      <c r="G66" s="3">
        <v>0</v>
      </c>
      <c r="H66" s="3">
        <v>0</v>
      </c>
      <c r="I66" s="3">
        <v>135020</v>
      </c>
      <c r="J66" s="3">
        <v>0</v>
      </c>
      <c r="K66" s="3">
        <v>5264951</v>
      </c>
      <c r="L66" s="3">
        <f>SUM(C66:K66)</f>
        <v>58440046</v>
      </c>
      <c r="M66" s="4">
        <f>CONVERT(Table7[[#This Row],[Estimation Total]],"byte","Gibyte")</f>
        <v>5.4426534101366997E-2</v>
      </c>
    </row>
    <row r="67" spans="1:13" x14ac:dyDescent="0.2">
      <c r="A67" t="s">
        <v>567</v>
      </c>
      <c r="B67" t="s">
        <v>568</v>
      </c>
      <c r="C67" s="3">
        <v>4015845</v>
      </c>
      <c r="D67" s="3">
        <v>7781859</v>
      </c>
      <c r="E67" s="3">
        <v>164115630</v>
      </c>
      <c r="F67" s="3">
        <v>0</v>
      </c>
      <c r="G67" s="3">
        <v>371742</v>
      </c>
      <c r="H67" s="3">
        <v>175867455</v>
      </c>
      <c r="I67" s="3">
        <v>237324654</v>
      </c>
      <c r="J67" s="3">
        <v>0</v>
      </c>
      <c r="K67" s="3">
        <v>3478514</v>
      </c>
      <c r="L67" s="3">
        <f>SUM(C67:K67)</f>
        <v>592955699</v>
      </c>
      <c r="M67" s="4">
        <f>CONVERT(Table7[[#This Row],[Estimation Total]],"byte","Gibyte")</f>
        <v>0.55223302822560072</v>
      </c>
    </row>
    <row r="68" spans="1:13" x14ac:dyDescent="0.2">
      <c r="A68" t="s">
        <v>782</v>
      </c>
      <c r="B68" t="s">
        <v>783</v>
      </c>
      <c r="C68" s="3">
        <v>0</v>
      </c>
      <c r="D68" s="3">
        <v>0</v>
      </c>
      <c r="E68" s="3">
        <v>0</v>
      </c>
      <c r="F68" s="3">
        <v>0</v>
      </c>
      <c r="G68" s="3">
        <v>0</v>
      </c>
      <c r="H68" s="3">
        <v>0</v>
      </c>
      <c r="I68" s="3">
        <v>0</v>
      </c>
      <c r="J68" s="3">
        <v>0</v>
      </c>
      <c r="K68" s="3">
        <v>0</v>
      </c>
      <c r="L68" s="3">
        <f>SUM(C68:K68)</f>
        <v>0</v>
      </c>
      <c r="M68" s="4">
        <f>CONVERT(Table7[[#This Row],[Estimation Total]],"byte","Gibyte")</f>
        <v>0</v>
      </c>
    </row>
    <row r="69" spans="1:13" x14ac:dyDescent="0.2">
      <c r="A69" t="s">
        <v>608</v>
      </c>
      <c r="B69" t="s">
        <v>609</v>
      </c>
      <c r="C69" s="3">
        <v>160272306</v>
      </c>
      <c r="D69" s="3">
        <v>1086861888</v>
      </c>
      <c r="E69" s="3">
        <v>807714657</v>
      </c>
      <c r="F69" s="3">
        <v>0</v>
      </c>
      <c r="G69" s="3">
        <v>0</v>
      </c>
      <c r="H69" s="3">
        <v>0</v>
      </c>
      <c r="I69" s="3">
        <v>5913876</v>
      </c>
      <c r="J69" s="3">
        <v>0</v>
      </c>
      <c r="K69" s="3">
        <v>373007102</v>
      </c>
      <c r="L69" s="3">
        <f>SUM(C69:K69)</f>
        <v>2433769829</v>
      </c>
      <c r="M69" s="4">
        <f>CONVERT(Table7[[#This Row],[Estimation Total]],"byte","Gibyte")</f>
        <v>2.2666247831657529</v>
      </c>
    </row>
    <row r="70" spans="1:13" x14ac:dyDescent="0.2">
      <c r="A70" s="1" t="s">
        <v>545</v>
      </c>
      <c r="B70" t="s">
        <v>546</v>
      </c>
      <c r="C70" s="3">
        <v>883666647</v>
      </c>
      <c r="D70" s="3">
        <v>2940567576</v>
      </c>
      <c r="E70" s="3">
        <v>3011601816</v>
      </c>
      <c r="F70" s="3">
        <v>0</v>
      </c>
      <c r="G70" s="3">
        <v>89040</v>
      </c>
      <c r="H70" s="3">
        <v>482415754</v>
      </c>
      <c r="I70" s="3">
        <v>333566910</v>
      </c>
      <c r="J70" s="3">
        <v>0</v>
      </c>
      <c r="K70" s="3">
        <v>969300294</v>
      </c>
      <c r="L70" s="3">
        <f>SUM(C70:K70)</f>
        <v>8621208037</v>
      </c>
      <c r="M70" s="4">
        <f>CONVERT(Table7[[#This Row],[Estimation Total]],"byte","Gibyte")</f>
        <v>8.0291256653144956</v>
      </c>
    </row>
    <row r="71" spans="1:13" x14ac:dyDescent="0.2">
      <c r="A71" t="s">
        <v>21</v>
      </c>
      <c r="B71" t="s">
        <v>22</v>
      </c>
      <c r="C71" s="3">
        <v>76530726</v>
      </c>
      <c r="D71" s="3">
        <v>191279361</v>
      </c>
      <c r="E71" s="3">
        <v>744120720</v>
      </c>
      <c r="F71" s="3">
        <v>0</v>
      </c>
      <c r="G71" s="3">
        <v>40068</v>
      </c>
      <c r="H71" s="3">
        <v>507089911</v>
      </c>
      <c r="I71" s="3">
        <v>184896388</v>
      </c>
      <c r="J71" s="3">
        <v>0</v>
      </c>
      <c r="K71" s="3">
        <v>46852099</v>
      </c>
      <c r="L71" s="3">
        <f>SUM(C71:K71)</f>
        <v>1750809273</v>
      </c>
      <c r="M71" s="4">
        <f>CONVERT(Table7[[#This Row],[Estimation Total]],"byte","Gibyte")</f>
        <v>1.6305681997910142</v>
      </c>
    </row>
    <row r="72" spans="1:13" x14ac:dyDescent="0.2">
      <c r="A72" t="s">
        <v>258</v>
      </c>
      <c r="B72" t="s">
        <v>259</v>
      </c>
      <c r="C72" s="3">
        <v>42925374</v>
      </c>
      <c r="D72" s="3">
        <v>217198269</v>
      </c>
      <c r="E72" s="3">
        <v>825601104</v>
      </c>
      <c r="F72" s="3">
        <v>0</v>
      </c>
      <c r="G72" s="3">
        <v>919338</v>
      </c>
      <c r="H72" s="3">
        <v>725055796</v>
      </c>
      <c r="I72" s="3">
        <v>105234588</v>
      </c>
      <c r="J72" s="3">
        <v>0</v>
      </c>
      <c r="K72" s="3">
        <v>42833711</v>
      </c>
      <c r="L72" s="3">
        <f>SUM(C72:K72)</f>
        <v>1959768180</v>
      </c>
      <c r="M72" s="4">
        <f>CONVERT(Table7[[#This Row],[Estimation Total]],"byte","Gibyte")</f>
        <v>1.8251763470470905</v>
      </c>
    </row>
    <row r="73" spans="1:13" x14ac:dyDescent="0.2">
      <c r="A73" t="s">
        <v>665</v>
      </c>
      <c r="B73" t="s">
        <v>666</v>
      </c>
      <c r="C73" s="3">
        <v>0</v>
      </c>
      <c r="D73" s="3">
        <v>0</v>
      </c>
      <c r="E73" s="3">
        <v>0</v>
      </c>
      <c r="F73" s="3">
        <v>0</v>
      </c>
      <c r="G73" s="3">
        <v>0</v>
      </c>
      <c r="H73" s="3">
        <v>0</v>
      </c>
      <c r="I73" s="3">
        <v>0</v>
      </c>
      <c r="J73" s="3">
        <v>0</v>
      </c>
      <c r="K73" s="3">
        <v>0</v>
      </c>
      <c r="L73" s="3">
        <f>SUM(C73:K73)</f>
        <v>0</v>
      </c>
      <c r="M73" s="4">
        <f>CONVERT(Table7[[#This Row],[Estimation Total]],"byte","Gibyte")</f>
        <v>0</v>
      </c>
    </row>
    <row r="74" spans="1:13" x14ac:dyDescent="0.2">
      <c r="A74" t="s">
        <v>754</v>
      </c>
      <c r="B74" t="s">
        <v>755</v>
      </c>
      <c r="C74" s="3">
        <v>0</v>
      </c>
      <c r="D74" s="3">
        <v>0</v>
      </c>
      <c r="E74" s="3">
        <v>0</v>
      </c>
      <c r="F74" s="3">
        <v>0</v>
      </c>
      <c r="G74" s="3">
        <v>0</v>
      </c>
      <c r="H74" s="3">
        <v>0</v>
      </c>
      <c r="I74" s="3">
        <v>0</v>
      </c>
      <c r="J74" s="3">
        <v>0</v>
      </c>
      <c r="K74" s="3">
        <v>0</v>
      </c>
      <c r="L74" s="3">
        <f>SUM(C74:K74)</f>
        <v>0</v>
      </c>
      <c r="M74" s="4">
        <f>CONVERT(Table7[[#This Row],[Estimation Total]],"byte","Gibyte")</f>
        <v>0</v>
      </c>
    </row>
    <row r="75" spans="1:13" x14ac:dyDescent="0.2">
      <c r="A75" t="s">
        <v>830</v>
      </c>
      <c r="B75" t="s">
        <v>831</v>
      </c>
      <c r="C75" s="3">
        <v>698526</v>
      </c>
      <c r="D75" s="3">
        <v>886746</v>
      </c>
      <c r="E75" s="3">
        <v>4174200</v>
      </c>
      <c r="F75" s="3">
        <v>0</v>
      </c>
      <c r="G75" s="3">
        <v>2226</v>
      </c>
      <c r="H75" s="3">
        <v>3331288</v>
      </c>
      <c r="I75" s="3">
        <v>7979682</v>
      </c>
      <c r="J75" s="3">
        <v>0</v>
      </c>
      <c r="K75" s="3">
        <v>224779</v>
      </c>
      <c r="L75" s="3">
        <f>SUM(C75:K75)</f>
        <v>17297447</v>
      </c>
      <c r="M75" s="4">
        <f>CONVERT(Table7[[#This Row],[Estimation Total]],"byte","Gibyte")</f>
        <v>1.6109502874314785E-2</v>
      </c>
    </row>
    <row r="76" spans="1:13" x14ac:dyDescent="0.2">
      <c r="A76" t="s">
        <v>541</v>
      </c>
      <c r="B76" t="s">
        <v>542</v>
      </c>
      <c r="C76" s="3">
        <v>997832160</v>
      </c>
      <c r="D76" s="3">
        <v>3056084655</v>
      </c>
      <c r="E76" s="3">
        <v>4847860224</v>
      </c>
      <c r="F76" s="3">
        <v>590</v>
      </c>
      <c r="G76" s="3">
        <v>4765866</v>
      </c>
      <c r="H76" s="3">
        <v>5438370986</v>
      </c>
      <c r="I76" s="3">
        <v>775662896</v>
      </c>
      <c r="J76" s="3">
        <v>0</v>
      </c>
      <c r="K76" s="3">
        <v>699194120</v>
      </c>
      <c r="L76" s="3">
        <f>SUM(C76:K76)</f>
        <v>15819771497</v>
      </c>
      <c r="M76" s="4">
        <f>CONVERT(Table7[[#This Row],[Estimation Total]],"byte","Gibyte")</f>
        <v>14.733310320414603</v>
      </c>
    </row>
    <row r="77" spans="1:13" x14ac:dyDescent="0.2">
      <c r="A77" t="s">
        <v>100</v>
      </c>
      <c r="B77" t="s">
        <v>101</v>
      </c>
      <c r="C77" s="3">
        <v>554796801</v>
      </c>
      <c r="D77" s="3">
        <v>2620785168</v>
      </c>
      <c r="E77" s="3">
        <v>5483806551</v>
      </c>
      <c r="F77" s="3">
        <v>0</v>
      </c>
      <c r="G77" s="3">
        <v>759066</v>
      </c>
      <c r="H77" s="3">
        <v>552613502</v>
      </c>
      <c r="I77" s="3">
        <v>204406778</v>
      </c>
      <c r="J77" s="3">
        <v>88296</v>
      </c>
      <c r="K77" s="3">
        <v>884017052</v>
      </c>
      <c r="L77" s="3">
        <f>SUM(C77:K77)</f>
        <v>10301273214</v>
      </c>
      <c r="M77" s="4">
        <f>CONVERT(Table7[[#This Row],[Estimation Total]],"byte","Gibyte")</f>
        <v>9.5938082914799452</v>
      </c>
    </row>
    <row r="78" spans="1:13" x14ac:dyDescent="0.2">
      <c r="A78" t="s">
        <v>50</v>
      </c>
      <c r="B78" t="s">
        <v>51</v>
      </c>
      <c r="C78" s="3">
        <v>75178521</v>
      </c>
      <c r="D78" s="3">
        <v>189672318</v>
      </c>
      <c r="E78" s="3">
        <v>161555454</v>
      </c>
      <c r="F78" s="3">
        <v>0</v>
      </c>
      <c r="G78" s="3">
        <v>0</v>
      </c>
      <c r="H78" s="3">
        <v>0</v>
      </c>
      <c r="I78" s="3">
        <v>22035264</v>
      </c>
      <c r="J78" s="3">
        <v>0</v>
      </c>
      <c r="K78" s="3">
        <v>70932434</v>
      </c>
      <c r="L78" s="3">
        <f>SUM(C78:K78)</f>
        <v>519373991</v>
      </c>
      <c r="M78" s="4">
        <f>CONVERT(Table7[[#This Row],[Estimation Total]],"byte","Gibyte")</f>
        <v>0.48370472248643637</v>
      </c>
    </row>
    <row r="79" spans="1:13" x14ac:dyDescent="0.2">
      <c r="A79" t="s">
        <v>16</v>
      </c>
      <c r="B79" t="s">
        <v>17</v>
      </c>
      <c r="C79" s="3">
        <v>2502712656</v>
      </c>
      <c r="D79" s="3">
        <v>11766718764</v>
      </c>
      <c r="E79" s="3">
        <v>17094142098</v>
      </c>
      <c r="F79" s="3">
        <v>0</v>
      </c>
      <c r="G79" s="3">
        <v>5068602</v>
      </c>
      <c r="H79" s="3">
        <v>14877154309</v>
      </c>
      <c r="I79" s="3">
        <v>1931974176</v>
      </c>
      <c r="J79" s="3">
        <v>291408</v>
      </c>
      <c r="K79" s="3">
        <v>4195155284</v>
      </c>
      <c r="L79" s="3">
        <f>SUM(C79:K79)</f>
        <v>52373217297</v>
      </c>
      <c r="M79" s="4">
        <f>CONVERT(Table7[[#This Row],[Estimation Total]],"byte","Gibyte")</f>
        <v>48.776359573937953</v>
      </c>
    </row>
    <row r="80" spans="1:13" x14ac:dyDescent="0.2">
      <c r="A80" s="1" t="s">
        <v>692</v>
      </c>
      <c r="B80" t="s">
        <v>693</v>
      </c>
      <c r="C80" s="3">
        <v>1359</v>
      </c>
      <c r="D80" s="3">
        <v>1473</v>
      </c>
      <c r="E80" s="3">
        <v>6957</v>
      </c>
      <c r="F80" s="3">
        <v>0</v>
      </c>
      <c r="G80" s="3">
        <v>0</v>
      </c>
      <c r="H80" s="3">
        <v>0</v>
      </c>
      <c r="I80" s="3">
        <v>0</v>
      </c>
      <c r="J80" s="3">
        <v>0</v>
      </c>
      <c r="K80" s="3">
        <v>337</v>
      </c>
      <c r="L80" s="3">
        <f>SUM(C80:K80)</f>
        <v>10126</v>
      </c>
      <c r="M80" s="4">
        <f>CONVERT(Table7[[#This Row],[Estimation Total]],"byte","Gibyte")</f>
        <v>9.4305723905563354E-6</v>
      </c>
    </row>
    <row r="81" spans="1:13" x14ac:dyDescent="0.2">
      <c r="A81" t="s">
        <v>444</v>
      </c>
      <c r="B81" t="s">
        <v>445</v>
      </c>
      <c r="C81" s="3">
        <v>33465375</v>
      </c>
      <c r="D81" s="3">
        <v>51727341</v>
      </c>
      <c r="E81" s="3">
        <v>154848906</v>
      </c>
      <c r="F81" s="3">
        <v>295</v>
      </c>
      <c r="G81" s="3">
        <v>82362</v>
      </c>
      <c r="H81" s="3">
        <v>155653469</v>
      </c>
      <c r="I81" s="3">
        <v>69548802</v>
      </c>
      <c r="J81" s="3">
        <v>0</v>
      </c>
      <c r="K81" s="3">
        <v>42729578</v>
      </c>
      <c r="L81" s="3">
        <f>SUM(C81:K81)</f>
        <v>508056128</v>
      </c>
      <c r="M81" s="4">
        <f>CONVERT(Table7[[#This Row],[Estimation Total]],"byte","Gibyte")</f>
        <v>0.4731641411781311</v>
      </c>
    </row>
    <row r="82" spans="1:13" x14ac:dyDescent="0.2">
      <c r="A82" t="s">
        <v>107</v>
      </c>
      <c r="B82" t="s">
        <v>108</v>
      </c>
      <c r="C82" s="3">
        <v>287561682</v>
      </c>
      <c r="D82" s="3">
        <v>1918262859</v>
      </c>
      <c r="E82" s="3">
        <v>734102640</v>
      </c>
      <c r="F82" s="3">
        <v>0</v>
      </c>
      <c r="G82" s="3">
        <v>0</v>
      </c>
      <c r="H82" s="3">
        <v>0</v>
      </c>
      <c r="I82" s="3">
        <v>13907060</v>
      </c>
      <c r="J82" s="3">
        <v>4680</v>
      </c>
      <c r="K82" s="3">
        <v>511869974</v>
      </c>
      <c r="L82" s="3">
        <f>SUM(C82:K82)</f>
        <v>3465708895</v>
      </c>
      <c r="M82" s="4">
        <f>CONVERT(Table7[[#This Row],[Estimation Total]],"byte","Gibyte")</f>
        <v>3.2276929309591651</v>
      </c>
    </row>
    <row r="83" spans="1:13" x14ac:dyDescent="0.2">
      <c r="A83" t="s">
        <v>799</v>
      </c>
      <c r="B83" t="s">
        <v>800</v>
      </c>
      <c r="C83" s="3">
        <v>48149370</v>
      </c>
      <c r="D83" s="3">
        <v>209280894</v>
      </c>
      <c r="E83" s="3">
        <v>94684770</v>
      </c>
      <c r="F83" s="3">
        <v>0</v>
      </c>
      <c r="G83" s="3">
        <v>0</v>
      </c>
      <c r="H83" s="3">
        <v>0</v>
      </c>
      <c r="I83" s="3">
        <v>3969588</v>
      </c>
      <c r="J83" s="3">
        <v>624</v>
      </c>
      <c r="K83" s="3">
        <v>84696525</v>
      </c>
      <c r="L83" s="3">
        <f>SUM(C83:K83)</f>
        <v>440781771</v>
      </c>
      <c r="M83" s="4">
        <f>CONVERT(Table7[[#This Row],[Estimation Total]],"byte","Gibyte")</f>
        <v>0.41051001381129026</v>
      </c>
    </row>
    <row r="84" spans="1:13" x14ac:dyDescent="0.2">
      <c r="A84" t="s">
        <v>73</v>
      </c>
      <c r="B84" t="s">
        <v>74</v>
      </c>
      <c r="C84" s="3">
        <v>411771564</v>
      </c>
      <c r="D84" s="3">
        <v>1188644715</v>
      </c>
      <c r="E84" s="3">
        <v>500368311</v>
      </c>
      <c r="F84" s="3">
        <v>295</v>
      </c>
      <c r="G84" s="3">
        <v>24486</v>
      </c>
      <c r="H84" s="3">
        <v>31221197</v>
      </c>
      <c r="I84" s="3">
        <v>110081806</v>
      </c>
      <c r="J84" s="3">
        <v>3744</v>
      </c>
      <c r="K84" s="3">
        <v>351182308</v>
      </c>
      <c r="L84" s="3">
        <f>SUM(C84:K84)</f>
        <v>2593298426</v>
      </c>
      <c r="M84" s="4">
        <f>CONVERT(Table7[[#This Row],[Estimation Total]],"byte","Gibyte")</f>
        <v>2.415197366848588</v>
      </c>
    </row>
    <row r="85" spans="1:13" x14ac:dyDescent="0.2">
      <c r="A85" t="s">
        <v>688</v>
      </c>
      <c r="B85" t="s">
        <v>689</v>
      </c>
      <c r="C85" s="3">
        <v>6795</v>
      </c>
      <c r="D85" s="3">
        <v>16203</v>
      </c>
      <c r="E85" s="3">
        <v>6957</v>
      </c>
      <c r="F85" s="3">
        <v>0</v>
      </c>
      <c r="G85" s="3">
        <v>0</v>
      </c>
      <c r="H85" s="3">
        <v>9628</v>
      </c>
      <c r="I85" s="3">
        <v>0</v>
      </c>
      <c r="J85" s="3">
        <v>0</v>
      </c>
      <c r="K85" s="3">
        <v>2022</v>
      </c>
      <c r="L85" s="3">
        <f>SUM(C85:K85)</f>
        <v>41605</v>
      </c>
      <c r="M85" s="4">
        <f>CONVERT(Table7[[#This Row],[Estimation Total]],"byte","Gibyte")</f>
        <v>3.8747675716876984E-5</v>
      </c>
    </row>
    <row r="86" spans="1:13" x14ac:dyDescent="0.2">
      <c r="A86" t="s">
        <v>409</v>
      </c>
      <c r="B86" t="s">
        <v>410</v>
      </c>
      <c r="C86" s="3">
        <v>5436</v>
      </c>
      <c r="D86" s="3">
        <v>4419</v>
      </c>
      <c r="E86" s="3">
        <v>90441</v>
      </c>
      <c r="F86" s="3">
        <v>0</v>
      </c>
      <c r="G86" s="3">
        <v>0</v>
      </c>
      <c r="H86" s="3">
        <v>0</v>
      </c>
      <c r="I86" s="3">
        <v>162024</v>
      </c>
      <c r="J86" s="3">
        <v>0</v>
      </c>
      <c r="K86" s="3">
        <v>1011</v>
      </c>
      <c r="L86" s="3">
        <f>SUM(C86:K86)</f>
        <v>263331</v>
      </c>
      <c r="M86" s="4">
        <f>CONVERT(Table7[[#This Row],[Estimation Total]],"byte","Gibyte")</f>
        <v>2.4524610489606857E-4</v>
      </c>
    </row>
    <row r="87" spans="1:13" x14ac:dyDescent="0.2">
      <c r="A87" t="s">
        <v>135</v>
      </c>
      <c r="B87" t="s">
        <v>136</v>
      </c>
      <c r="C87" s="3">
        <v>103105971</v>
      </c>
      <c r="D87" s="3">
        <v>328938576</v>
      </c>
      <c r="E87" s="3">
        <v>9273681</v>
      </c>
      <c r="F87" s="3">
        <v>0</v>
      </c>
      <c r="G87" s="3">
        <v>4452</v>
      </c>
      <c r="H87" s="3">
        <v>9570232</v>
      </c>
      <c r="I87" s="3">
        <v>54008</v>
      </c>
      <c r="J87" s="3">
        <v>0</v>
      </c>
      <c r="K87" s="3">
        <v>83307411</v>
      </c>
      <c r="L87" s="3">
        <f>SUM(C87:K87)</f>
        <v>534254331</v>
      </c>
      <c r="M87" s="4">
        <f>CONVERT(Table7[[#This Row],[Estimation Total]],"byte","Gibyte")</f>
        <v>0.49756311904639006</v>
      </c>
    </row>
    <row r="88" spans="1:13" x14ac:dyDescent="0.2">
      <c r="A88" t="s">
        <v>647</v>
      </c>
      <c r="B88" t="s">
        <v>648</v>
      </c>
      <c r="C88" s="3">
        <v>19444572</v>
      </c>
      <c r="D88" s="3">
        <v>114054390</v>
      </c>
      <c r="E88" s="3">
        <v>13914</v>
      </c>
      <c r="F88" s="3">
        <v>0</v>
      </c>
      <c r="G88" s="3">
        <v>0</v>
      </c>
      <c r="H88" s="3">
        <v>0</v>
      </c>
      <c r="I88" s="3">
        <v>0</v>
      </c>
      <c r="J88" s="3">
        <v>0</v>
      </c>
      <c r="K88" s="3">
        <v>41048959</v>
      </c>
      <c r="L88" s="3">
        <f>SUM(C88:K88)</f>
        <v>174561835</v>
      </c>
      <c r="M88" s="4">
        <f>CONVERT(Table7[[#This Row],[Estimation Total]],"byte","Gibyte")</f>
        <v>0.16257337760180235</v>
      </c>
    </row>
    <row r="89" spans="1:13" x14ac:dyDescent="0.2">
      <c r="A89" t="s">
        <v>812</v>
      </c>
      <c r="B89" t="s">
        <v>813</v>
      </c>
      <c r="C89" s="3">
        <v>7002927</v>
      </c>
      <c r="D89" s="3">
        <v>28894368</v>
      </c>
      <c r="E89" s="3">
        <v>542646</v>
      </c>
      <c r="F89" s="3">
        <v>0</v>
      </c>
      <c r="G89" s="3">
        <v>0</v>
      </c>
      <c r="H89" s="3">
        <v>0</v>
      </c>
      <c r="I89" s="3">
        <v>0</v>
      </c>
      <c r="J89" s="3">
        <v>17160</v>
      </c>
      <c r="K89" s="3">
        <v>14228140</v>
      </c>
      <c r="L89" s="3">
        <f>SUM(C89:K89)</f>
        <v>50685241</v>
      </c>
      <c r="M89" s="4">
        <f>CONVERT(Table7[[#This Row],[Estimation Total]],"byte","Gibyte")</f>
        <v>4.7204309143126011E-2</v>
      </c>
    </row>
    <row r="90" spans="1:13" x14ac:dyDescent="0.2">
      <c r="A90" t="s">
        <v>449</v>
      </c>
      <c r="B90" t="s">
        <v>450</v>
      </c>
      <c r="C90" s="3">
        <v>475650</v>
      </c>
      <c r="D90" s="3">
        <v>659904</v>
      </c>
      <c r="E90" s="3">
        <v>14164452</v>
      </c>
      <c r="F90" s="3">
        <v>0</v>
      </c>
      <c r="G90" s="3">
        <v>13356</v>
      </c>
      <c r="H90" s="3">
        <v>20437837</v>
      </c>
      <c r="I90" s="3">
        <v>4469162</v>
      </c>
      <c r="J90" s="3">
        <v>0</v>
      </c>
      <c r="K90" s="3">
        <v>152324</v>
      </c>
      <c r="L90" s="3">
        <f>SUM(C90:K90)</f>
        <v>40372685</v>
      </c>
      <c r="M90" s="4">
        <f>CONVERT(Table7[[#This Row],[Estimation Total]],"byte","Gibyte")</f>
        <v>3.759999293833971E-2</v>
      </c>
    </row>
    <row r="91" spans="1:13" x14ac:dyDescent="0.2">
      <c r="A91" t="s">
        <v>762</v>
      </c>
      <c r="B91" t="s">
        <v>763</v>
      </c>
      <c r="C91" s="3">
        <v>4366467</v>
      </c>
      <c r="D91" s="3">
        <v>9436038</v>
      </c>
      <c r="E91" s="3">
        <v>5774310</v>
      </c>
      <c r="F91" s="3">
        <v>0</v>
      </c>
      <c r="G91" s="3">
        <v>0</v>
      </c>
      <c r="H91" s="3">
        <v>7235442</v>
      </c>
      <c r="I91" s="3">
        <v>7210068</v>
      </c>
      <c r="J91" s="3">
        <v>1248</v>
      </c>
      <c r="K91" s="3">
        <v>2337769</v>
      </c>
      <c r="L91" s="3">
        <f>SUM(C91:K91)</f>
        <v>36361342</v>
      </c>
      <c r="M91" s="4">
        <f>CONVERT(Table7[[#This Row],[Estimation Total]],"byte","Gibyte")</f>
        <v>3.3864138647913933E-2</v>
      </c>
    </row>
    <row r="92" spans="1:13" x14ac:dyDescent="0.2">
      <c r="A92" t="s">
        <v>145</v>
      </c>
      <c r="B92" t="s">
        <v>146</v>
      </c>
      <c r="C92" s="3">
        <v>13590</v>
      </c>
      <c r="D92" s="3">
        <v>14730</v>
      </c>
      <c r="E92" s="3">
        <v>76527</v>
      </c>
      <c r="F92" s="3">
        <v>0</v>
      </c>
      <c r="G92" s="3">
        <v>0</v>
      </c>
      <c r="H92" s="3">
        <v>0</v>
      </c>
      <c r="I92" s="3">
        <v>202530</v>
      </c>
      <c r="J92" s="3">
        <v>0</v>
      </c>
      <c r="K92" s="3">
        <v>5392</v>
      </c>
      <c r="L92" s="3">
        <f>SUM(C92:K92)</f>
        <v>312769</v>
      </c>
      <c r="M92" s="4">
        <f>CONVERT(Table7[[#This Row],[Estimation Total]],"byte","Gibyte")</f>
        <v>2.912888303399086E-4</v>
      </c>
    </row>
    <row r="93" spans="1:13" x14ac:dyDescent="0.2">
      <c r="A93" t="s">
        <v>439</v>
      </c>
      <c r="B93" t="s">
        <v>440</v>
      </c>
      <c r="C93" s="3">
        <v>53108361</v>
      </c>
      <c r="D93" s="3">
        <v>77233809</v>
      </c>
      <c r="E93" s="3">
        <v>617906826</v>
      </c>
      <c r="F93" s="3">
        <v>295</v>
      </c>
      <c r="G93" s="3">
        <v>3394650</v>
      </c>
      <c r="H93" s="3">
        <v>500684884</v>
      </c>
      <c r="I93" s="3">
        <v>320199930</v>
      </c>
      <c r="J93" s="3">
        <v>0</v>
      </c>
      <c r="K93" s="3">
        <v>17747094</v>
      </c>
      <c r="L93" s="3">
        <f>SUM(C93:K93)</f>
        <v>1590275849</v>
      </c>
      <c r="M93" s="4">
        <f>CONVERT(Table7[[#This Row],[Estimation Total]],"byte","Gibyte")</f>
        <v>1.4810597980394959</v>
      </c>
    </row>
    <row r="94" spans="1:13" x14ac:dyDescent="0.2">
      <c r="A94" t="s">
        <v>527</v>
      </c>
      <c r="B94" t="s">
        <v>528</v>
      </c>
      <c r="C94" s="3">
        <v>0</v>
      </c>
      <c r="D94" s="3">
        <v>0</v>
      </c>
      <c r="E94" s="3">
        <v>0</v>
      </c>
      <c r="F94" s="3">
        <v>0</v>
      </c>
      <c r="G94" s="3">
        <v>0</v>
      </c>
      <c r="H94" s="3">
        <v>0</v>
      </c>
      <c r="I94" s="3">
        <v>0</v>
      </c>
      <c r="J94" s="3">
        <v>0</v>
      </c>
      <c r="K94" s="3">
        <v>0</v>
      </c>
      <c r="L94" s="3">
        <f>SUM(C94:K94)</f>
        <v>0</v>
      </c>
      <c r="M94" s="4">
        <f>CONVERT(Table7[[#This Row],[Estimation Total]],"byte","Gibyte")</f>
        <v>0</v>
      </c>
    </row>
    <row r="95" spans="1:13" x14ac:dyDescent="0.2">
      <c r="A95" t="s">
        <v>168</v>
      </c>
      <c r="B95" t="s">
        <v>169</v>
      </c>
      <c r="C95" s="3">
        <v>127928106</v>
      </c>
      <c r="D95" s="3">
        <v>1518598188</v>
      </c>
      <c r="E95" s="3">
        <v>6104190069</v>
      </c>
      <c r="F95" s="3">
        <v>0</v>
      </c>
      <c r="G95" s="3">
        <v>39208764</v>
      </c>
      <c r="H95" s="3">
        <v>3331398722</v>
      </c>
      <c r="I95" s="3">
        <v>8664584452</v>
      </c>
      <c r="J95" s="3">
        <v>0</v>
      </c>
      <c r="K95" s="3">
        <v>105768461</v>
      </c>
      <c r="L95" s="3">
        <f>SUM(C95:K95)</f>
        <v>19891676762</v>
      </c>
      <c r="M95" s="4">
        <f>CONVERT(Table7[[#This Row],[Estimation Total]],"byte","Gibyte")</f>
        <v>18.525567615404725</v>
      </c>
    </row>
    <row r="96" spans="1:13" x14ac:dyDescent="0.2">
      <c r="A96" t="s">
        <v>294</v>
      </c>
      <c r="B96" t="s">
        <v>295</v>
      </c>
      <c r="C96" s="3">
        <v>154427247</v>
      </c>
      <c r="D96" s="3">
        <v>653235729</v>
      </c>
      <c r="E96" s="3">
        <v>855780570</v>
      </c>
      <c r="F96" s="3">
        <v>22793765</v>
      </c>
      <c r="G96" s="3">
        <v>280476</v>
      </c>
      <c r="H96" s="3">
        <v>1273952890</v>
      </c>
      <c r="I96" s="3">
        <v>850342458</v>
      </c>
      <c r="J96" s="3">
        <v>0</v>
      </c>
      <c r="K96" s="3">
        <v>155274098</v>
      </c>
      <c r="L96" s="3">
        <f>SUM(C96:K96)</f>
        <v>3966087233</v>
      </c>
      <c r="M96" s="4">
        <f>CONVERT(Table7[[#This Row],[Estimation Total]],"byte","Gibyte")</f>
        <v>3.6937065729871392</v>
      </c>
    </row>
    <row r="97" spans="1:13" x14ac:dyDescent="0.2">
      <c r="A97" t="s">
        <v>515</v>
      </c>
      <c r="B97" t="s">
        <v>516</v>
      </c>
      <c r="C97" s="3">
        <v>31702752</v>
      </c>
      <c r="D97" s="3">
        <v>144778224</v>
      </c>
      <c r="E97" s="3">
        <v>106511670</v>
      </c>
      <c r="F97" s="3">
        <v>0</v>
      </c>
      <c r="G97" s="3">
        <v>703416</v>
      </c>
      <c r="H97" s="3">
        <v>97206695</v>
      </c>
      <c r="I97" s="3">
        <v>37130500</v>
      </c>
      <c r="J97" s="3">
        <v>0</v>
      </c>
      <c r="K97" s="3">
        <v>45265840</v>
      </c>
      <c r="L97" s="3">
        <f>SUM(C97:K97)</f>
        <v>463299097</v>
      </c>
      <c r="M97" s="4">
        <f>CONVERT(Table7[[#This Row],[Estimation Total]],"byte","Gibyte")</f>
        <v>0.43148090783506632</v>
      </c>
    </row>
    <row r="98" spans="1:13" x14ac:dyDescent="0.2">
      <c r="A98" t="s">
        <v>462</v>
      </c>
      <c r="B98" t="s">
        <v>463</v>
      </c>
      <c r="C98" s="3">
        <v>141963858</v>
      </c>
      <c r="D98" s="3">
        <v>304386612</v>
      </c>
      <c r="E98" s="3">
        <v>272978766</v>
      </c>
      <c r="F98" s="3">
        <v>885</v>
      </c>
      <c r="G98" s="3">
        <v>380646</v>
      </c>
      <c r="H98" s="3">
        <v>278006093</v>
      </c>
      <c r="I98" s="3">
        <v>77798524</v>
      </c>
      <c r="J98" s="3">
        <v>0</v>
      </c>
      <c r="K98" s="3">
        <v>77339815</v>
      </c>
      <c r="L98" s="3">
        <f>SUM(C98:K98)</f>
        <v>1152855199</v>
      </c>
      <c r="M98" s="4">
        <f>CONVERT(Table7[[#This Row],[Estimation Total]],"byte","Gibyte")</f>
        <v>1.0736800720915198</v>
      </c>
    </row>
    <row r="99" spans="1:13" x14ac:dyDescent="0.2">
      <c r="A99" t="s">
        <v>115</v>
      </c>
      <c r="B99" t="s">
        <v>116</v>
      </c>
      <c r="C99" s="3">
        <v>77997087</v>
      </c>
      <c r="D99" s="3">
        <v>507693018</v>
      </c>
      <c r="E99" s="3">
        <v>180255870</v>
      </c>
      <c r="F99" s="3">
        <v>0</v>
      </c>
      <c r="G99" s="3">
        <v>0</v>
      </c>
      <c r="H99" s="3">
        <v>0</v>
      </c>
      <c r="I99" s="3">
        <v>85872720</v>
      </c>
      <c r="J99" s="3">
        <v>936</v>
      </c>
      <c r="K99" s="3">
        <v>145703972</v>
      </c>
      <c r="L99" s="3">
        <f>SUM(C99:K99)</f>
        <v>997523603</v>
      </c>
      <c r="M99" s="4">
        <f>CONVERT(Table7[[#This Row],[Estimation Total]],"byte","Gibyte")</f>
        <v>0.92901625018566847</v>
      </c>
    </row>
    <row r="100" spans="1:13" x14ac:dyDescent="0.2">
      <c r="A100" t="s">
        <v>85</v>
      </c>
      <c r="B100" t="s">
        <v>86</v>
      </c>
      <c r="C100" s="3">
        <v>211612608</v>
      </c>
      <c r="D100" s="3">
        <v>635156127</v>
      </c>
      <c r="E100" s="3">
        <v>2597987295</v>
      </c>
      <c r="F100" s="3">
        <v>0</v>
      </c>
      <c r="G100" s="3">
        <v>1449126</v>
      </c>
      <c r="H100" s="3">
        <v>2648934791</v>
      </c>
      <c r="I100" s="3">
        <v>454112766</v>
      </c>
      <c r="J100" s="3">
        <v>246168</v>
      </c>
      <c r="K100" s="3">
        <v>149717305</v>
      </c>
      <c r="L100" s="3">
        <f>SUM(C100:K100)</f>
        <v>6699216186</v>
      </c>
      <c r="M100" s="4">
        <f>CONVERT(Table7[[#This Row],[Estimation Total]],"byte","Gibyte")</f>
        <v>6.2391312662512064</v>
      </c>
    </row>
    <row r="101" spans="1:13" x14ac:dyDescent="0.2">
      <c r="A101" t="s">
        <v>69</v>
      </c>
      <c r="B101" t="s">
        <v>70</v>
      </c>
      <c r="C101" s="3">
        <v>368973936</v>
      </c>
      <c r="D101" s="3">
        <v>5798966793</v>
      </c>
      <c r="E101" s="3">
        <v>1739639592</v>
      </c>
      <c r="F101" s="3">
        <v>0</v>
      </c>
      <c r="G101" s="3">
        <v>0</v>
      </c>
      <c r="H101" s="3">
        <v>0</v>
      </c>
      <c r="I101" s="3">
        <v>13042932</v>
      </c>
      <c r="J101" s="3">
        <v>1560</v>
      </c>
      <c r="K101" s="3">
        <v>1405338865</v>
      </c>
      <c r="L101" s="3">
        <f>SUM(C101:K101)</f>
        <v>9325963678</v>
      </c>
      <c r="M101" s="4">
        <f>CONVERT(Table7[[#This Row],[Estimation Total]],"byte","Gibyte")</f>
        <v>8.6854805033653975</v>
      </c>
    </row>
    <row r="102" spans="1:13" x14ac:dyDescent="0.2">
      <c r="A102" t="s">
        <v>26</v>
      </c>
      <c r="B102" t="s">
        <v>27</v>
      </c>
      <c r="C102" s="3">
        <v>115709337</v>
      </c>
      <c r="D102" s="3">
        <v>1218976731</v>
      </c>
      <c r="E102" s="3">
        <v>780185808</v>
      </c>
      <c r="F102" s="3">
        <v>885</v>
      </c>
      <c r="G102" s="3">
        <v>184758</v>
      </c>
      <c r="H102" s="3">
        <v>532652251</v>
      </c>
      <c r="I102" s="3">
        <v>258036722</v>
      </c>
      <c r="J102" s="3">
        <v>6552</v>
      </c>
      <c r="K102" s="3">
        <v>313641856</v>
      </c>
      <c r="L102" s="3">
        <f>SUM(C102:K102)</f>
        <v>3219394900</v>
      </c>
      <c r="M102" s="4">
        <f>CONVERT(Table7[[#This Row],[Estimation Total]],"byte","Gibyte")</f>
        <v>2.998295146971941</v>
      </c>
    </row>
    <row r="103" spans="1:13" x14ac:dyDescent="0.2">
      <c r="A103" t="s">
        <v>405</v>
      </c>
      <c r="B103" t="s">
        <v>406</v>
      </c>
      <c r="C103" s="3">
        <v>591165</v>
      </c>
      <c r="D103" s="3">
        <v>132570</v>
      </c>
      <c r="E103" s="3">
        <v>521775</v>
      </c>
      <c r="F103" s="3">
        <v>0</v>
      </c>
      <c r="G103" s="3">
        <v>0</v>
      </c>
      <c r="H103" s="3">
        <v>0</v>
      </c>
      <c r="I103" s="3">
        <v>94514</v>
      </c>
      <c r="J103" s="3">
        <v>0</v>
      </c>
      <c r="K103" s="3">
        <v>30330</v>
      </c>
      <c r="L103" s="3">
        <f>SUM(C103:K103)</f>
        <v>1370354</v>
      </c>
      <c r="M103" s="4">
        <f>CONVERT(Table7[[#This Row],[Estimation Total]],"byte","Gibyte")</f>
        <v>1.2762416154146194E-3</v>
      </c>
    </row>
    <row r="104" spans="1:13" x14ac:dyDescent="0.2">
      <c r="A104" t="s">
        <v>524</v>
      </c>
      <c r="B104" t="s">
        <v>525</v>
      </c>
      <c r="C104" s="3">
        <v>353180997</v>
      </c>
      <c r="D104" s="3">
        <v>924600627</v>
      </c>
      <c r="E104" s="3">
        <v>32322222</v>
      </c>
      <c r="F104" s="3">
        <v>0</v>
      </c>
      <c r="G104" s="3">
        <v>24486</v>
      </c>
      <c r="H104" s="3">
        <v>29680717</v>
      </c>
      <c r="I104" s="3">
        <v>22548340</v>
      </c>
      <c r="J104" s="3">
        <v>0</v>
      </c>
      <c r="K104" s="3">
        <v>521842478</v>
      </c>
      <c r="L104" s="3">
        <f>SUM(C104:K104)</f>
        <v>1884199867</v>
      </c>
      <c r="M104" s="4">
        <f>CONVERT(Table7[[#This Row],[Estimation Total]],"byte","Gibyte")</f>
        <v>1.7547978712245822</v>
      </c>
    </row>
    <row r="105" spans="1:13" x14ac:dyDescent="0.2">
      <c r="A105" t="s">
        <v>758</v>
      </c>
      <c r="B105" t="s">
        <v>759</v>
      </c>
      <c r="C105" s="3">
        <v>137458773</v>
      </c>
      <c r="D105" s="3">
        <v>856263738</v>
      </c>
      <c r="E105" s="3">
        <v>846931266</v>
      </c>
      <c r="F105" s="3">
        <v>0</v>
      </c>
      <c r="G105" s="3">
        <v>0</v>
      </c>
      <c r="H105" s="3">
        <v>0</v>
      </c>
      <c r="I105" s="3">
        <v>13947566</v>
      </c>
      <c r="J105" s="3">
        <v>0</v>
      </c>
      <c r="K105" s="3">
        <v>310634468</v>
      </c>
      <c r="L105" s="3">
        <f>SUM(C105:K105)</f>
        <v>2165235811</v>
      </c>
      <c r="M105" s="4">
        <f>CONVERT(Table7[[#This Row],[Estimation Total]],"byte","Gibyte")</f>
        <v>2.0165329901501536</v>
      </c>
    </row>
    <row r="106" spans="1:13" x14ac:dyDescent="0.2">
      <c r="A106" t="s">
        <v>163</v>
      </c>
      <c r="B106" t="s">
        <v>164</v>
      </c>
      <c r="C106" s="3">
        <v>11758068</v>
      </c>
      <c r="D106" s="3">
        <v>18730668</v>
      </c>
      <c r="E106" s="3">
        <v>190969650</v>
      </c>
      <c r="F106" s="3">
        <v>843700</v>
      </c>
      <c r="G106" s="3">
        <v>2408532</v>
      </c>
      <c r="H106" s="3">
        <v>141861359</v>
      </c>
      <c r="I106" s="3">
        <v>155124478</v>
      </c>
      <c r="J106" s="3">
        <v>0</v>
      </c>
      <c r="K106" s="3">
        <v>7165294</v>
      </c>
      <c r="L106" s="3">
        <f>SUM(C106:K106)</f>
        <v>528861749</v>
      </c>
      <c r="M106" s="4">
        <f>CONVERT(Table7[[#This Row],[Estimation Total]],"byte","Gibyte")</f>
        <v>0.49254088569432497</v>
      </c>
    </row>
    <row r="107" spans="1:13" x14ac:dyDescent="0.2">
      <c r="A107" t="s">
        <v>612</v>
      </c>
      <c r="B107" t="s">
        <v>613</v>
      </c>
      <c r="C107" s="3">
        <v>38159361</v>
      </c>
      <c r="D107" s="3">
        <v>85568043</v>
      </c>
      <c r="E107" s="3">
        <v>462348306</v>
      </c>
      <c r="F107" s="3">
        <v>0</v>
      </c>
      <c r="G107" s="3">
        <v>111300</v>
      </c>
      <c r="H107" s="3">
        <v>509501725</v>
      </c>
      <c r="I107" s="3">
        <v>105261592</v>
      </c>
      <c r="J107" s="3">
        <v>0</v>
      </c>
      <c r="K107" s="3">
        <v>22484303</v>
      </c>
      <c r="L107" s="3">
        <f>SUM(C107:K107)</f>
        <v>1223434630</v>
      </c>
      <c r="M107" s="4">
        <f>CONVERT(Table7[[#This Row],[Estimation Total]],"byte","Gibyte")</f>
        <v>1.1394122894853354</v>
      </c>
    </row>
    <row r="108" spans="1:13" x14ac:dyDescent="0.2">
      <c r="A108" t="s">
        <v>482</v>
      </c>
      <c r="B108" t="s">
        <v>483</v>
      </c>
      <c r="C108" s="3">
        <v>289450692</v>
      </c>
      <c r="D108" s="3">
        <v>1742598771</v>
      </c>
      <c r="E108" s="3">
        <v>1444106232</v>
      </c>
      <c r="F108" s="3">
        <v>0</v>
      </c>
      <c r="G108" s="3">
        <v>0</v>
      </c>
      <c r="H108" s="3">
        <v>0</v>
      </c>
      <c r="I108" s="3">
        <v>83820416</v>
      </c>
      <c r="J108" s="3">
        <v>0</v>
      </c>
      <c r="K108" s="3">
        <v>530755454</v>
      </c>
      <c r="L108" s="3">
        <f>SUM(C108:K108)</f>
        <v>4090731565</v>
      </c>
      <c r="M108" s="4">
        <f>CONVERT(Table7[[#This Row],[Estimation Total]],"byte","Gibyte")</f>
        <v>3.8097906531766057</v>
      </c>
    </row>
    <row r="109" spans="1:13" x14ac:dyDescent="0.2">
      <c r="A109" t="s">
        <v>317</v>
      </c>
      <c r="B109" t="s">
        <v>318</v>
      </c>
      <c r="C109" s="3">
        <v>814061385</v>
      </c>
      <c r="D109" s="3">
        <v>2941373307</v>
      </c>
      <c r="E109" s="3">
        <v>4583368998</v>
      </c>
      <c r="F109" s="3">
        <v>0</v>
      </c>
      <c r="G109" s="3">
        <v>0</v>
      </c>
      <c r="H109" s="3">
        <v>0</v>
      </c>
      <c r="I109" s="3">
        <v>92461696</v>
      </c>
      <c r="J109" s="3">
        <v>0</v>
      </c>
      <c r="K109" s="3">
        <v>1024657599</v>
      </c>
      <c r="L109" s="3">
        <f>SUM(C109:K109)</f>
        <v>9455922985</v>
      </c>
      <c r="M109" s="4">
        <f>CONVERT(Table7[[#This Row],[Estimation Total]],"byte","Gibyte")</f>
        <v>8.8065145397558808</v>
      </c>
    </row>
    <row r="110" spans="1:13" x14ac:dyDescent="0.2">
      <c r="A110" t="s">
        <v>413</v>
      </c>
      <c r="B110" t="s">
        <v>414</v>
      </c>
      <c r="C110" s="3">
        <v>61795089</v>
      </c>
      <c r="D110" s="3">
        <v>98082651</v>
      </c>
      <c r="E110" s="3">
        <v>403158150</v>
      </c>
      <c r="F110" s="3">
        <v>0</v>
      </c>
      <c r="G110" s="3">
        <v>73458</v>
      </c>
      <c r="H110" s="3">
        <v>254318806</v>
      </c>
      <c r="I110" s="3">
        <v>42922858</v>
      </c>
      <c r="J110" s="3">
        <v>0</v>
      </c>
      <c r="K110" s="3">
        <v>22412522</v>
      </c>
      <c r="L110" s="3">
        <f>SUM(C110:K110)</f>
        <v>882763534</v>
      </c>
      <c r="M110" s="4">
        <f>CONVERT(Table7[[#This Row],[Estimation Total]],"byte","Gibyte")</f>
        <v>0.82213760726153851</v>
      </c>
    </row>
    <row r="111" spans="1:13" x14ac:dyDescent="0.2">
      <c r="A111" t="s">
        <v>401</v>
      </c>
      <c r="B111" t="s">
        <v>402</v>
      </c>
      <c r="C111" s="3">
        <v>622336383</v>
      </c>
      <c r="D111" s="3">
        <v>5124293022</v>
      </c>
      <c r="E111" s="3">
        <v>5264904546</v>
      </c>
      <c r="F111" s="3">
        <v>295</v>
      </c>
      <c r="G111" s="3">
        <v>200340</v>
      </c>
      <c r="H111" s="3">
        <v>268481594</v>
      </c>
      <c r="I111" s="3">
        <v>253405536</v>
      </c>
      <c r="J111" s="3">
        <v>0</v>
      </c>
      <c r="K111" s="3">
        <v>1358695032</v>
      </c>
      <c r="L111" s="3">
        <f>SUM(C111:K111)</f>
        <v>12892316748</v>
      </c>
      <c r="M111" s="4">
        <f>CONVERT(Table7[[#This Row],[Estimation Total]],"byte","Gibyte")</f>
        <v>12.006905626505613</v>
      </c>
    </row>
    <row r="112" spans="1:13" x14ac:dyDescent="0.2">
      <c r="A112" t="s">
        <v>313</v>
      </c>
      <c r="B112" t="s">
        <v>314</v>
      </c>
      <c r="C112" s="3">
        <v>895167864</v>
      </c>
      <c r="D112" s="3">
        <v>1996348062</v>
      </c>
      <c r="E112" s="3">
        <v>7447983318</v>
      </c>
      <c r="F112" s="3">
        <v>9460650</v>
      </c>
      <c r="G112" s="3">
        <v>4696860</v>
      </c>
      <c r="H112" s="3">
        <v>22324508589</v>
      </c>
      <c r="I112" s="3">
        <v>212399962</v>
      </c>
      <c r="J112" s="3">
        <v>0</v>
      </c>
      <c r="K112" s="3">
        <v>462838159</v>
      </c>
      <c r="L112" s="3">
        <f>SUM(C112:K112)</f>
        <v>33353403464</v>
      </c>
      <c r="M112" s="4">
        <f>CONVERT(Table7[[#This Row],[Estimation Total]],"byte","Gibyte")</f>
        <v>31.0627775862813</v>
      </c>
    </row>
    <row r="113" spans="1:13" x14ac:dyDescent="0.2">
      <c r="A113" t="s">
        <v>817</v>
      </c>
      <c r="B113" t="s">
        <v>818</v>
      </c>
      <c r="C113" s="3">
        <v>0</v>
      </c>
      <c r="D113" s="3">
        <v>0</v>
      </c>
      <c r="E113" s="3">
        <v>0</v>
      </c>
      <c r="F113" s="3">
        <v>0</v>
      </c>
      <c r="G113" s="3">
        <v>0</v>
      </c>
      <c r="H113" s="3">
        <v>0</v>
      </c>
      <c r="I113" s="3">
        <v>0</v>
      </c>
      <c r="J113" s="3">
        <v>0</v>
      </c>
      <c r="K113" s="3">
        <v>0</v>
      </c>
      <c r="L113" s="3">
        <f>SUM(C113:K113)</f>
        <v>0</v>
      </c>
      <c r="M113" s="4">
        <f>CONVERT(Table7[[#This Row],[Estimation Total]],"byte","Gibyte")</f>
        <v>0</v>
      </c>
    </row>
    <row r="114" spans="1:13" x14ac:dyDescent="0.2">
      <c r="A114" t="s">
        <v>308</v>
      </c>
      <c r="B114" t="s">
        <v>309</v>
      </c>
      <c r="C114" s="3">
        <v>80584623</v>
      </c>
      <c r="D114" s="3">
        <v>476768856</v>
      </c>
      <c r="E114" s="3">
        <v>530944326</v>
      </c>
      <c r="F114" s="3">
        <v>2360</v>
      </c>
      <c r="G114" s="3">
        <v>204792</v>
      </c>
      <c r="H114" s="3">
        <v>551443700</v>
      </c>
      <c r="I114" s="3">
        <v>72154688</v>
      </c>
      <c r="J114" s="3">
        <v>0</v>
      </c>
      <c r="K114" s="3">
        <v>109721134</v>
      </c>
      <c r="L114" s="3">
        <f>SUM(C114:K114)</f>
        <v>1821824479</v>
      </c>
      <c r="M114" s="4">
        <f>CONVERT(Table7[[#This Row],[Estimation Total]],"byte","Gibyte")</f>
        <v>1.6967062642797828</v>
      </c>
    </row>
    <row r="115" spans="1:13" x14ac:dyDescent="0.2">
      <c r="A115" s="1" t="s">
        <v>727</v>
      </c>
      <c r="B115" t="s">
        <v>728</v>
      </c>
      <c r="C115" s="3">
        <v>7958304</v>
      </c>
      <c r="D115" s="3">
        <v>33005511</v>
      </c>
      <c r="E115" s="3">
        <v>103826268</v>
      </c>
      <c r="F115" s="3">
        <v>0</v>
      </c>
      <c r="G115" s="3">
        <v>17808</v>
      </c>
      <c r="H115" s="3">
        <v>122992886</v>
      </c>
      <c r="I115" s="3">
        <v>205230400</v>
      </c>
      <c r="J115" s="3">
        <v>302952</v>
      </c>
      <c r="K115" s="3">
        <v>7861873</v>
      </c>
      <c r="L115" s="3">
        <f>SUM(C115:K115)</f>
        <v>481196002</v>
      </c>
      <c r="M115" s="4">
        <f>CONVERT(Table7[[#This Row],[Estimation Total]],"byte","Gibyte")</f>
        <v>0.44814869947731495</v>
      </c>
    </row>
    <row r="116" spans="1:13" x14ac:dyDescent="0.2">
      <c r="A116" t="s">
        <v>239</v>
      </c>
      <c r="B116" t="s">
        <v>240</v>
      </c>
      <c r="C116" s="3">
        <v>134266482</v>
      </c>
      <c r="D116" s="3">
        <v>1618902123</v>
      </c>
      <c r="E116" s="3">
        <v>1084401504</v>
      </c>
      <c r="F116" s="3">
        <v>0</v>
      </c>
      <c r="G116" s="3">
        <v>0</v>
      </c>
      <c r="H116" s="3">
        <v>0</v>
      </c>
      <c r="I116" s="3">
        <v>68347124</v>
      </c>
      <c r="J116" s="3">
        <v>0</v>
      </c>
      <c r="K116" s="3">
        <v>494727795</v>
      </c>
      <c r="L116" s="3">
        <f>SUM(C116:K116)</f>
        <v>3400645028</v>
      </c>
      <c r="M116" s="4">
        <f>CONVERT(Table7[[#This Row],[Estimation Total]],"byte","Gibyte")</f>
        <v>3.167097482830286</v>
      </c>
    </row>
    <row r="117" spans="1:13" x14ac:dyDescent="0.2">
      <c r="A117" t="s">
        <v>494</v>
      </c>
      <c r="B117" t="s">
        <v>495</v>
      </c>
      <c r="C117" s="3">
        <v>127452456</v>
      </c>
      <c r="D117" s="3">
        <v>1027949253</v>
      </c>
      <c r="E117" s="3">
        <v>226728630</v>
      </c>
      <c r="F117" s="3">
        <v>0</v>
      </c>
      <c r="G117" s="3">
        <v>51198</v>
      </c>
      <c r="H117" s="3">
        <v>196112732</v>
      </c>
      <c r="I117" s="3">
        <v>85859218</v>
      </c>
      <c r="J117" s="3">
        <v>0</v>
      </c>
      <c r="K117" s="3">
        <v>236469867</v>
      </c>
      <c r="L117" s="3">
        <f>SUM(C117:K117)</f>
        <v>1900623354</v>
      </c>
      <c r="M117" s="4">
        <f>CONVERT(Table7[[#This Row],[Estimation Total]],"byte","Gibyte")</f>
        <v>1.770093435421586</v>
      </c>
    </row>
    <row r="118" spans="1:13" x14ac:dyDescent="0.2">
      <c r="A118" t="s">
        <v>537</v>
      </c>
      <c r="B118" t="s">
        <v>538</v>
      </c>
      <c r="C118" s="3">
        <v>113486013</v>
      </c>
      <c r="D118" s="3">
        <v>160159290</v>
      </c>
      <c r="E118" s="3">
        <v>18881298</v>
      </c>
      <c r="F118" s="3">
        <v>0</v>
      </c>
      <c r="G118" s="3">
        <v>0</v>
      </c>
      <c r="H118" s="3">
        <v>0</v>
      </c>
      <c r="I118" s="3">
        <v>6818510</v>
      </c>
      <c r="J118" s="3">
        <v>0</v>
      </c>
      <c r="K118" s="3">
        <v>52034822</v>
      </c>
      <c r="L118" s="3">
        <f>SUM(C118:K118)</f>
        <v>351379933</v>
      </c>
      <c r="M118" s="4">
        <f>CONVERT(Table7[[#This Row],[Estimation Total]],"byte","Gibyte")</f>
        <v>0.32724806386977434</v>
      </c>
    </row>
    <row r="119" spans="1:13" x14ac:dyDescent="0.2">
      <c r="A119" t="s">
        <v>104</v>
      </c>
      <c r="B119" t="s">
        <v>105</v>
      </c>
      <c r="C119" s="3">
        <v>118977732</v>
      </c>
      <c r="D119" s="3">
        <v>2074590876</v>
      </c>
      <c r="E119" s="3">
        <v>509739390</v>
      </c>
      <c r="F119" s="3">
        <v>13865</v>
      </c>
      <c r="G119" s="3">
        <v>0</v>
      </c>
      <c r="H119" s="3">
        <v>0</v>
      </c>
      <c r="I119" s="3">
        <v>2281838</v>
      </c>
      <c r="J119" s="3">
        <v>2184</v>
      </c>
      <c r="K119" s="3">
        <v>550468269</v>
      </c>
      <c r="L119" s="3">
        <f>SUM(C119:K119)</f>
        <v>3256074154</v>
      </c>
      <c r="M119" s="4">
        <f>CONVERT(Table7[[#This Row],[Estimation Total]],"byte","Gibyte")</f>
        <v>3.0324553642421961</v>
      </c>
    </row>
    <row r="120" spans="1:13" x14ac:dyDescent="0.2">
      <c r="A120" t="s">
        <v>498</v>
      </c>
      <c r="B120" t="s">
        <v>499</v>
      </c>
      <c r="C120" s="3">
        <v>60111288</v>
      </c>
      <c r="D120" s="3">
        <v>191264631</v>
      </c>
      <c r="E120" s="3">
        <v>695533032</v>
      </c>
      <c r="F120" s="3">
        <v>0</v>
      </c>
      <c r="G120" s="3">
        <v>62328</v>
      </c>
      <c r="H120" s="3">
        <v>679512949</v>
      </c>
      <c r="I120" s="3">
        <v>106260740</v>
      </c>
      <c r="J120" s="3">
        <v>0</v>
      </c>
      <c r="K120" s="3">
        <v>58605985</v>
      </c>
      <c r="L120" s="3">
        <f>SUM(C120:K120)</f>
        <v>1791350953</v>
      </c>
      <c r="M120" s="4">
        <f>CONVERT(Table7[[#This Row],[Estimation Total]],"byte","Gibyte")</f>
        <v>1.668325581587851</v>
      </c>
    </row>
    <row r="121" spans="1:13" x14ac:dyDescent="0.2">
      <c r="A121" t="s">
        <v>821</v>
      </c>
      <c r="B121" t="s">
        <v>822</v>
      </c>
      <c r="C121" s="3">
        <v>0</v>
      </c>
      <c r="D121" s="3">
        <v>0</v>
      </c>
      <c r="E121" s="3">
        <v>0</v>
      </c>
      <c r="F121" s="3">
        <v>0</v>
      </c>
      <c r="G121" s="3">
        <v>0</v>
      </c>
      <c r="H121" s="3">
        <v>0</v>
      </c>
      <c r="I121" s="3">
        <v>0</v>
      </c>
      <c r="J121" s="3">
        <v>0</v>
      </c>
      <c r="K121" s="3">
        <v>0</v>
      </c>
      <c r="L121" s="3">
        <f>SUM(C121:K121)</f>
        <v>0</v>
      </c>
      <c r="M121" s="4">
        <f>CONVERT(Table7[[#This Row],[Estimation Total]],"byte","Gibyte")</f>
        <v>0</v>
      </c>
    </row>
    <row r="122" spans="1:13" x14ac:dyDescent="0.2">
      <c r="A122" t="s">
        <v>550</v>
      </c>
      <c r="B122" t="s">
        <v>551</v>
      </c>
      <c r="C122" s="3">
        <v>5436</v>
      </c>
      <c r="D122" s="3">
        <v>5892</v>
      </c>
      <c r="E122" s="3">
        <v>76527</v>
      </c>
      <c r="F122" s="3">
        <v>0</v>
      </c>
      <c r="G122" s="3">
        <v>0</v>
      </c>
      <c r="H122" s="3">
        <v>74617</v>
      </c>
      <c r="I122" s="3">
        <v>40506</v>
      </c>
      <c r="J122" s="3">
        <v>0</v>
      </c>
      <c r="K122" s="3">
        <v>1348</v>
      </c>
      <c r="L122" s="3">
        <f>SUM(C122:K122)</f>
        <v>204326</v>
      </c>
      <c r="M122" s="4">
        <f>CONVERT(Table7[[#This Row],[Estimation Total]],"byte","Gibyte")</f>
        <v>1.9029341638088226E-4</v>
      </c>
    </row>
    <row r="123" spans="1:13" x14ac:dyDescent="0.2">
      <c r="A123" t="s">
        <v>507</v>
      </c>
      <c r="B123" t="s">
        <v>508</v>
      </c>
      <c r="C123" s="3">
        <v>3330770382</v>
      </c>
      <c r="D123" s="3">
        <v>8417580759</v>
      </c>
      <c r="E123" s="3">
        <v>3764502270</v>
      </c>
      <c r="F123" s="3">
        <v>885</v>
      </c>
      <c r="G123" s="3">
        <v>24486</v>
      </c>
      <c r="H123" s="3">
        <v>654552359</v>
      </c>
      <c r="I123" s="3">
        <v>380877918</v>
      </c>
      <c r="J123" s="3">
        <v>0</v>
      </c>
      <c r="K123" s="3">
        <v>3781731098</v>
      </c>
      <c r="L123" s="3">
        <f>SUM(C123:K123)</f>
        <v>20330040157</v>
      </c>
      <c r="M123" s="4">
        <f>CONVERT(Table7[[#This Row],[Estimation Total]],"byte","Gibyte")</f>
        <v>18.933825341053307</v>
      </c>
    </row>
    <row r="124" spans="1:13" x14ac:dyDescent="0.2">
      <c r="A124" t="s">
        <v>558</v>
      </c>
      <c r="B124" t="s">
        <v>559</v>
      </c>
      <c r="C124" s="3">
        <v>11703708</v>
      </c>
      <c r="D124" s="3">
        <v>22018404</v>
      </c>
      <c r="E124" s="3">
        <v>67879449</v>
      </c>
      <c r="F124" s="3">
        <v>0</v>
      </c>
      <c r="G124" s="3">
        <v>15582</v>
      </c>
      <c r="H124" s="3">
        <v>64779591</v>
      </c>
      <c r="I124" s="3">
        <v>14892706</v>
      </c>
      <c r="J124" s="3">
        <v>0</v>
      </c>
      <c r="K124" s="3">
        <v>5074546</v>
      </c>
      <c r="L124" s="3">
        <f>SUM(C124:K124)</f>
        <v>186363986</v>
      </c>
      <c r="M124" s="4">
        <f>CONVERT(Table7[[#This Row],[Estimation Total]],"byte","Gibyte")</f>
        <v>0.17356498725712299</v>
      </c>
    </row>
    <row r="125" spans="1:13" x14ac:dyDescent="0.2">
      <c r="A125" t="s">
        <v>289</v>
      </c>
      <c r="B125" t="s">
        <v>290</v>
      </c>
      <c r="C125" s="3">
        <v>68247621</v>
      </c>
      <c r="D125" s="3">
        <v>599617056</v>
      </c>
      <c r="E125" s="3">
        <v>1846979145</v>
      </c>
      <c r="F125" s="3">
        <v>1514825</v>
      </c>
      <c r="G125" s="3">
        <v>9335844</v>
      </c>
      <c r="H125" s="3">
        <v>2798380607</v>
      </c>
      <c r="I125" s="3">
        <v>2247569924</v>
      </c>
      <c r="J125" s="3">
        <v>0</v>
      </c>
      <c r="K125" s="3">
        <v>137939155</v>
      </c>
      <c r="L125" s="3">
        <f>SUM(C125:K125)</f>
        <v>7709584177</v>
      </c>
      <c r="M125" s="4">
        <f>CONVERT(Table7[[#This Row],[Estimation Total]],"byte","Gibyte")</f>
        <v>7.180109784938395</v>
      </c>
    </row>
    <row r="126" spans="1:13" x14ac:dyDescent="0.2">
      <c r="A126" t="s">
        <v>393</v>
      </c>
      <c r="B126" t="s">
        <v>394</v>
      </c>
      <c r="C126" s="3">
        <v>4283172531</v>
      </c>
      <c r="D126" s="3">
        <v>18789956250</v>
      </c>
      <c r="E126" s="3">
        <v>15103480032</v>
      </c>
      <c r="F126" s="3">
        <v>295</v>
      </c>
      <c r="G126" s="3">
        <v>311640</v>
      </c>
      <c r="H126" s="3">
        <v>702439624</v>
      </c>
      <c r="I126" s="3">
        <v>950648816</v>
      </c>
      <c r="J126" s="3">
        <v>0</v>
      </c>
      <c r="K126" s="3">
        <v>5433829788</v>
      </c>
      <c r="L126" s="3">
        <f>SUM(C126:K126)</f>
        <v>45263838976</v>
      </c>
      <c r="M126" s="4">
        <f>CONVERT(Table7[[#This Row],[Estimation Total]],"byte","Gibyte")</f>
        <v>42.155235052108765</v>
      </c>
    </row>
    <row r="127" spans="1:13" x14ac:dyDescent="0.2">
      <c r="A127" t="s">
        <v>140</v>
      </c>
      <c r="B127" t="s">
        <v>141</v>
      </c>
      <c r="C127" s="3">
        <v>0</v>
      </c>
      <c r="D127" s="3">
        <v>0</v>
      </c>
      <c r="E127" s="3">
        <v>0</v>
      </c>
      <c r="F127" s="3">
        <v>0</v>
      </c>
      <c r="G127" s="3">
        <v>0</v>
      </c>
      <c r="H127" s="3">
        <v>0</v>
      </c>
      <c r="I127" s="3">
        <v>0</v>
      </c>
      <c r="J127" s="3">
        <v>0</v>
      </c>
      <c r="K127" s="3">
        <v>0</v>
      </c>
      <c r="L127" s="3">
        <f>SUM(C127:K127)</f>
        <v>0</v>
      </c>
      <c r="M127" s="4">
        <f>CONVERT(Table7[[#This Row],[Estimation Total]],"byte","Gibyte")</f>
        <v>0</v>
      </c>
    </row>
    <row r="128" spans="1:13" x14ac:dyDescent="0.2">
      <c r="A128" t="s">
        <v>833</v>
      </c>
      <c r="B128" t="s">
        <v>834</v>
      </c>
      <c r="C128" s="3">
        <v>0</v>
      </c>
      <c r="D128" s="3">
        <v>0</v>
      </c>
      <c r="E128" s="3">
        <v>0</v>
      </c>
      <c r="F128" s="3">
        <v>0</v>
      </c>
      <c r="G128" s="3">
        <v>0</v>
      </c>
      <c r="H128" s="3">
        <v>0</v>
      </c>
      <c r="I128" s="3">
        <v>0</v>
      </c>
      <c r="J128" s="3">
        <v>0</v>
      </c>
      <c r="K128" s="3">
        <v>0</v>
      </c>
      <c r="L128" s="3">
        <f>SUM(C128:K128)</f>
        <v>0</v>
      </c>
      <c r="M128" s="4">
        <f>CONVERT(Table7[[#This Row],[Estimation Total]],"byte","Gibyte")</f>
        <v>0</v>
      </c>
    </row>
    <row r="129" spans="1:13" x14ac:dyDescent="0.2">
      <c r="A129" t="s">
        <v>379</v>
      </c>
      <c r="B129" t="s">
        <v>380</v>
      </c>
      <c r="C129" s="3">
        <v>697682061</v>
      </c>
      <c r="D129" s="3">
        <v>2843614716</v>
      </c>
      <c r="E129" s="3">
        <v>2235284100</v>
      </c>
      <c r="F129" s="3">
        <v>0</v>
      </c>
      <c r="G129" s="3">
        <v>1553748</v>
      </c>
      <c r="H129" s="3">
        <v>1667326493</v>
      </c>
      <c r="I129" s="3">
        <v>524620210</v>
      </c>
      <c r="J129" s="3">
        <v>0</v>
      </c>
      <c r="K129" s="3">
        <v>829904288</v>
      </c>
      <c r="L129" s="3">
        <f>SUM(C129:K129)</f>
        <v>8799985616</v>
      </c>
      <c r="M129" s="4">
        <f>CONVERT(Table7[[#This Row],[Estimation Total]],"byte","Gibyte")</f>
        <v>8.1956252604722977</v>
      </c>
    </row>
    <row r="130" spans="1:13" x14ac:dyDescent="0.2">
      <c r="A130" t="s">
        <v>731</v>
      </c>
      <c r="B130" t="s">
        <v>732</v>
      </c>
      <c r="C130" s="3">
        <v>0</v>
      </c>
      <c r="D130" s="3">
        <v>0</v>
      </c>
      <c r="E130" s="3">
        <v>0</v>
      </c>
      <c r="F130" s="3">
        <v>0</v>
      </c>
      <c r="G130" s="3">
        <v>0</v>
      </c>
      <c r="H130" s="3">
        <v>0</v>
      </c>
      <c r="I130" s="3">
        <v>0</v>
      </c>
      <c r="J130" s="3">
        <v>0</v>
      </c>
      <c r="K130" s="3">
        <v>0</v>
      </c>
      <c r="L130" s="3">
        <f>SUM(C130:K130)</f>
        <v>0</v>
      </c>
      <c r="M130" s="4">
        <f>CONVERT(Table7[[#This Row],[Estimation Total]],"byte","Gibyte")</f>
        <v>0</v>
      </c>
    </row>
    <row r="131" spans="1:13" x14ac:dyDescent="0.2">
      <c r="A131" t="s">
        <v>325</v>
      </c>
      <c r="B131" t="s">
        <v>326</v>
      </c>
      <c r="C131" s="3">
        <v>49239288</v>
      </c>
      <c r="D131" s="3">
        <v>202901331</v>
      </c>
      <c r="E131" s="3">
        <v>612772560</v>
      </c>
      <c r="F131" s="3">
        <v>0</v>
      </c>
      <c r="G131" s="3">
        <v>0</v>
      </c>
      <c r="H131" s="3">
        <v>0</v>
      </c>
      <c r="I131" s="3">
        <v>0</v>
      </c>
      <c r="J131" s="3">
        <v>0</v>
      </c>
      <c r="K131" s="3">
        <v>60826815</v>
      </c>
      <c r="L131" s="3">
        <f>SUM(C131:K131)</f>
        <v>925739994</v>
      </c>
      <c r="M131" s="4">
        <f>CONVERT(Table7[[#This Row],[Estimation Total]],"byte","Gibyte")</f>
        <v>0.86216255463659763</v>
      </c>
    </row>
    <row r="132" spans="1:13" x14ac:dyDescent="0.2">
      <c r="A132" t="s">
        <v>248</v>
      </c>
      <c r="B132" t="s">
        <v>249</v>
      </c>
      <c r="C132" s="3">
        <v>2265453</v>
      </c>
      <c r="D132" s="3">
        <v>2929797</v>
      </c>
      <c r="E132" s="3">
        <v>347850</v>
      </c>
      <c r="F132" s="3">
        <v>0</v>
      </c>
      <c r="G132" s="3">
        <v>6678</v>
      </c>
      <c r="H132" s="3">
        <v>271991</v>
      </c>
      <c r="I132" s="3">
        <v>40506</v>
      </c>
      <c r="J132" s="3">
        <v>0</v>
      </c>
      <c r="K132" s="3">
        <v>1016729</v>
      </c>
      <c r="L132" s="3">
        <f>SUM(C132:K132)</f>
        <v>6879004</v>
      </c>
      <c r="M132" s="4">
        <f>CONVERT(Table7[[#This Row],[Estimation Total]],"byte","Gibyte")</f>
        <v>6.4065717160701752E-3</v>
      </c>
    </row>
    <row r="133" spans="1:13" x14ac:dyDescent="0.2">
      <c r="A133" t="s">
        <v>586</v>
      </c>
      <c r="B133" t="s">
        <v>587</v>
      </c>
      <c r="C133" s="3">
        <v>125329698</v>
      </c>
      <c r="D133" s="3">
        <v>722421066</v>
      </c>
      <c r="E133" s="3">
        <v>2254068</v>
      </c>
      <c r="F133" s="3">
        <v>0</v>
      </c>
      <c r="G133" s="3">
        <v>0</v>
      </c>
      <c r="H133" s="3">
        <v>0</v>
      </c>
      <c r="I133" s="3">
        <v>202530</v>
      </c>
      <c r="J133" s="3">
        <v>0</v>
      </c>
      <c r="K133" s="3">
        <v>180149079</v>
      </c>
      <c r="L133" s="3">
        <f>SUM(C133:K133)</f>
        <v>1030356441</v>
      </c>
      <c r="M133" s="4">
        <f>CONVERT(Table7[[#This Row],[Estimation Total]],"byte","Gibyte")</f>
        <v>0.95959421340376139</v>
      </c>
    </row>
    <row r="134" spans="1:13" x14ac:dyDescent="0.2">
      <c r="A134" t="s">
        <v>370</v>
      </c>
      <c r="B134" t="s">
        <v>371</v>
      </c>
      <c r="C134" s="3">
        <v>17777079</v>
      </c>
      <c r="D134" s="3">
        <v>32940699</v>
      </c>
      <c r="E134" s="3">
        <v>70029162</v>
      </c>
      <c r="F134" s="3">
        <v>0</v>
      </c>
      <c r="G134" s="3">
        <v>20034</v>
      </c>
      <c r="H134" s="3">
        <v>59886160</v>
      </c>
      <c r="I134" s="3">
        <v>19280856</v>
      </c>
      <c r="J134" s="3">
        <v>0</v>
      </c>
      <c r="K134" s="3">
        <v>7536668</v>
      </c>
      <c r="L134" s="3">
        <f>SUM(C134:K134)</f>
        <v>207470658</v>
      </c>
      <c r="M134" s="4">
        <f>CONVERT(Table7[[#This Row],[Estimation Total]],"byte","Gibyte")</f>
        <v>0.19322210736572742</v>
      </c>
    </row>
    <row r="135" spans="1:13" x14ac:dyDescent="0.2">
      <c r="A135" t="s">
        <v>186</v>
      </c>
      <c r="B135" t="s">
        <v>187</v>
      </c>
      <c r="C135" s="3">
        <v>329803479</v>
      </c>
      <c r="D135" s="3">
        <v>591228321</v>
      </c>
      <c r="E135" s="3">
        <v>1683183537</v>
      </c>
      <c r="F135" s="3">
        <v>0</v>
      </c>
      <c r="G135" s="3">
        <v>690060</v>
      </c>
      <c r="H135" s="3">
        <v>949195636</v>
      </c>
      <c r="I135" s="3">
        <v>177767332</v>
      </c>
      <c r="J135" s="3">
        <v>54288</v>
      </c>
      <c r="K135" s="3">
        <v>229557660</v>
      </c>
      <c r="L135" s="3">
        <f>SUM(C135:K135)</f>
        <v>3961480313</v>
      </c>
      <c r="M135" s="4">
        <f>CONVERT(Table7[[#This Row],[Estimation Total]],"byte","Gibyte")</f>
        <v>3.6894160443916917</v>
      </c>
    </row>
    <row r="136" spans="1:13" x14ac:dyDescent="0.2">
      <c r="A136" t="s">
        <v>266</v>
      </c>
      <c r="B136" t="s">
        <v>267</v>
      </c>
      <c r="C136" s="3">
        <v>608924412</v>
      </c>
      <c r="D136" s="3">
        <v>1860385743</v>
      </c>
      <c r="E136" s="3">
        <v>1620452268</v>
      </c>
      <c r="F136" s="3">
        <v>0</v>
      </c>
      <c r="G136" s="3">
        <v>1299984</v>
      </c>
      <c r="H136" s="3">
        <v>1468893413</v>
      </c>
      <c r="I136" s="3">
        <v>616703850</v>
      </c>
      <c r="J136" s="3">
        <v>0</v>
      </c>
      <c r="K136" s="3">
        <v>425678517</v>
      </c>
      <c r="L136" s="3">
        <f>SUM(C136:K136)</f>
        <v>6602338187</v>
      </c>
      <c r="M136" s="4">
        <f>CONVERT(Table7[[#This Row],[Estimation Total]],"byte","Gibyte")</f>
        <v>6.1489065987989306</v>
      </c>
    </row>
    <row r="137" spans="1:13" x14ac:dyDescent="0.2">
      <c r="A137" t="s">
        <v>155</v>
      </c>
      <c r="B137" t="s">
        <v>156</v>
      </c>
      <c r="C137" s="3">
        <v>97387299</v>
      </c>
      <c r="D137" s="3">
        <v>272164737</v>
      </c>
      <c r="E137" s="3">
        <v>1768615497</v>
      </c>
      <c r="F137" s="3">
        <v>0</v>
      </c>
      <c r="G137" s="3">
        <v>674478</v>
      </c>
      <c r="H137" s="3">
        <v>2927622065</v>
      </c>
      <c r="I137" s="3">
        <v>337279960</v>
      </c>
      <c r="J137" s="3">
        <v>40872</v>
      </c>
      <c r="K137" s="3">
        <v>62370949</v>
      </c>
      <c r="L137" s="3">
        <f>SUM(C137:K137)</f>
        <v>5466155857</v>
      </c>
      <c r="M137" s="4">
        <f>CONVERT(Table7[[#This Row],[Estimation Total]],"byte","Gibyte")</f>
        <v>5.0907543459907174</v>
      </c>
    </row>
    <row r="138" spans="1:13" x14ac:dyDescent="0.2">
      <c r="A138" t="s">
        <v>642</v>
      </c>
      <c r="B138" t="s">
        <v>643</v>
      </c>
      <c r="C138" s="3">
        <v>6472917</v>
      </c>
      <c r="D138" s="3">
        <v>101773989</v>
      </c>
      <c r="E138" s="3">
        <v>219611619</v>
      </c>
      <c r="F138" s="3">
        <v>0</v>
      </c>
      <c r="G138" s="3">
        <v>117978</v>
      </c>
      <c r="H138" s="3">
        <v>347111063</v>
      </c>
      <c r="I138" s="3">
        <v>403736804</v>
      </c>
      <c r="J138" s="3">
        <v>312</v>
      </c>
      <c r="K138" s="3">
        <v>23538776</v>
      </c>
      <c r="L138" s="3">
        <f>SUM(C138:K138)</f>
        <v>1102363458</v>
      </c>
      <c r="M138" s="4">
        <f>CONVERT(Table7[[#This Row],[Estimation Total]],"byte","Gibyte")</f>
        <v>1.0266559738665819</v>
      </c>
    </row>
    <row r="139" spans="1:13" x14ac:dyDescent="0.2">
      <c r="A139" t="s">
        <v>808</v>
      </c>
      <c r="B139" t="s">
        <v>809</v>
      </c>
      <c r="C139" s="3">
        <v>66411612</v>
      </c>
      <c r="D139" s="3">
        <v>322059666</v>
      </c>
      <c r="E139" s="3">
        <v>58995360</v>
      </c>
      <c r="F139" s="3">
        <v>0</v>
      </c>
      <c r="G139" s="3">
        <v>0</v>
      </c>
      <c r="H139" s="3">
        <v>0</v>
      </c>
      <c r="I139" s="3">
        <v>2740906</v>
      </c>
      <c r="J139" s="3">
        <v>0</v>
      </c>
      <c r="K139" s="3">
        <v>118357770</v>
      </c>
      <c r="L139" s="3">
        <f>SUM(C139:K139)</f>
        <v>568565314</v>
      </c>
      <c r="M139" s="4">
        <f>CONVERT(Table7[[#This Row],[Estimation Total]],"byte","Gibyte")</f>
        <v>0.52951771207153797</v>
      </c>
    </row>
    <row r="140" spans="1:13" x14ac:dyDescent="0.2">
      <c r="A140" t="s">
        <v>213</v>
      </c>
      <c r="B140" t="s">
        <v>214</v>
      </c>
      <c r="C140" s="3">
        <v>40608279</v>
      </c>
      <c r="D140" s="3">
        <v>588327984</v>
      </c>
      <c r="E140" s="3">
        <v>1575475263</v>
      </c>
      <c r="F140" s="3">
        <v>0</v>
      </c>
      <c r="G140" s="3">
        <v>16601508</v>
      </c>
      <c r="H140" s="3">
        <v>787286374</v>
      </c>
      <c r="I140" s="3">
        <v>1075164260</v>
      </c>
      <c r="J140" s="3">
        <v>0</v>
      </c>
      <c r="K140" s="3">
        <v>34885229</v>
      </c>
      <c r="L140" s="3">
        <f>SUM(C140:K140)</f>
        <v>4118348897</v>
      </c>
      <c r="M140" s="4">
        <f>CONVERT(Table7[[#This Row],[Estimation Total]],"byte","Gibyte")</f>
        <v>3.8355112979188561</v>
      </c>
    </row>
    <row r="141" spans="1:13" x14ac:dyDescent="0.2">
      <c r="A141" t="s">
        <v>262</v>
      </c>
      <c r="B141" t="s">
        <v>263</v>
      </c>
      <c r="C141" s="3">
        <v>168749748</v>
      </c>
      <c r="D141" s="3">
        <v>388475763</v>
      </c>
      <c r="E141" s="3">
        <v>580547736</v>
      </c>
      <c r="F141" s="3">
        <v>0</v>
      </c>
      <c r="G141" s="3">
        <v>0</v>
      </c>
      <c r="H141" s="3">
        <v>13688609</v>
      </c>
      <c r="I141" s="3">
        <v>432023494</v>
      </c>
      <c r="J141" s="3">
        <v>0</v>
      </c>
      <c r="K141" s="3">
        <v>111377489</v>
      </c>
      <c r="L141" s="3">
        <f>SUM(C141:K141)</f>
        <v>1694862839</v>
      </c>
      <c r="M141" s="4">
        <f>CONVERT(Table7[[#This Row],[Estimation Total]],"byte","Gibyte")</f>
        <v>1.5784640228375793</v>
      </c>
    </row>
    <row r="142" spans="1:13" x14ac:dyDescent="0.2">
      <c r="A142" t="s">
        <v>77</v>
      </c>
      <c r="B142" t="s">
        <v>78</v>
      </c>
      <c r="C142" s="3">
        <v>300424617</v>
      </c>
      <c r="D142" s="3">
        <v>935777751</v>
      </c>
      <c r="E142" s="3">
        <v>2689937964</v>
      </c>
      <c r="F142" s="3">
        <v>590</v>
      </c>
      <c r="G142" s="3">
        <v>15582</v>
      </c>
      <c r="H142" s="3">
        <v>2055724827</v>
      </c>
      <c r="I142" s="3">
        <v>359882308</v>
      </c>
      <c r="J142" s="3">
        <v>0</v>
      </c>
      <c r="K142" s="3">
        <v>329236194</v>
      </c>
      <c r="L142" s="3">
        <f>SUM(C142:K142)</f>
        <v>6670999833</v>
      </c>
      <c r="M142" s="4">
        <f>CONVERT(Table7[[#This Row],[Estimation Total]],"byte","Gibyte")</f>
        <v>6.2128527397289872</v>
      </c>
    </row>
    <row r="143" spans="1:13" x14ac:dyDescent="0.2">
      <c r="A143" t="s">
        <v>181</v>
      </c>
      <c r="B143" t="s">
        <v>182</v>
      </c>
      <c r="C143" s="3">
        <v>313884153</v>
      </c>
      <c r="D143" s="3">
        <v>1261525809</v>
      </c>
      <c r="E143" s="3">
        <v>1701849168</v>
      </c>
      <c r="F143" s="3">
        <v>1475</v>
      </c>
      <c r="G143" s="3">
        <v>13356</v>
      </c>
      <c r="H143" s="3">
        <v>919654525</v>
      </c>
      <c r="I143" s="3">
        <v>1271591356</v>
      </c>
      <c r="J143" s="3">
        <v>0</v>
      </c>
      <c r="K143" s="3">
        <v>459332011</v>
      </c>
      <c r="L143" s="3">
        <f>SUM(C143:K143)</f>
        <v>5927851853</v>
      </c>
      <c r="M143" s="4">
        <f>CONVERT(Table7[[#This Row],[Estimation Total]],"byte","Gibyte")</f>
        <v>5.5207422496750951</v>
      </c>
    </row>
    <row r="144" spans="1:13" x14ac:dyDescent="0.2">
      <c r="A144" t="s">
        <v>131</v>
      </c>
      <c r="B144" t="s">
        <v>132</v>
      </c>
      <c r="C144" s="3">
        <v>14072445</v>
      </c>
      <c r="D144" s="3">
        <v>24332487</v>
      </c>
      <c r="E144" s="3">
        <v>103067955</v>
      </c>
      <c r="F144" s="3">
        <v>0</v>
      </c>
      <c r="G144" s="3">
        <v>4452</v>
      </c>
      <c r="H144" s="3">
        <v>113191582</v>
      </c>
      <c r="I144" s="3">
        <v>27760112</v>
      </c>
      <c r="J144" s="3">
        <v>0</v>
      </c>
      <c r="K144" s="3">
        <v>5566903</v>
      </c>
      <c r="L144" s="3">
        <f>SUM(C144:K144)</f>
        <v>287995936</v>
      </c>
      <c r="M144" s="4">
        <f>CONVERT(Table7[[#This Row],[Estimation Total]],"byte","Gibyte")</f>
        <v>0.26821711659431458</v>
      </c>
    </row>
    <row r="145" spans="1:13" x14ac:dyDescent="0.2">
      <c r="A145" t="s">
        <v>333</v>
      </c>
      <c r="B145" t="s">
        <v>334</v>
      </c>
      <c r="C145" s="3">
        <v>132660144</v>
      </c>
      <c r="D145" s="3">
        <v>344645175</v>
      </c>
      <c r="E145" s="3">
        <v>926456733</v>
      </c>
      <c r="F145" s="3">
        <v>0</v>
      </c>
      <c r="G145" s="3">
        <v>8904</v>
      </c>
      <c r="H145" s="3">
        <v>863920440</v>
      </c>
      <c r="I145" s="3">
        <v>156920244</v>
      </c>
      <c r="J145" s="3">
        <v>0</v>
      </c>
      <c r="K145" s="3">
        <v>78849912</v>
      </c>
      <c r="L145" s="3">
        <f>SUM(C145:K145)</f>
        <v>2503461552</v>
      </c>
      <c r="M145" s="4">
        <f>CONVERT(Table7[[#This Row],[Estimation Total]],"byte","Gibyte")</f>
        <v>2.3315302580595016</v>
      </c>
    </row>
    <row r="146" spans="1:13" x14ac:dyDescent="0.2">
      <c r="A146" t="s">
        <v>486</v>
      </c>
      <c r="B146" t="s">
        <v>487</v>
      </c>
      <c r="C146" s="3">
        <v>484107057</v>
      </c>
      <c r="D146" s="3">
        <v>2518775499</v>
      </c>
      <c r="E146" s="3">
        <v>2449524915</v>
      </c>
      <c r="F146" s="3">
        <v>8260</v>
      </c>
      <c r="G146" s="3">
        <v>3120852</v>
      </c>
      <c r="H146" s="3">
        <v>1019723143</v>
      </c>
      <c r="I146" s="3">
        <v>760513652</v>
      </c>
      <c r="J146" s="3">
        <v>0</v>
      </c>
      <c r="K146" s="3">
        <v>815014617</v>
      </c>
      <c r="L146" s="3">
        <f>SUM(C146:K146)</f>
        <v>8050787995</v>
      </c>
      <c r="M146" s="4">
        <f>CONVERT(Table7[[#This Row],[Estimation Total]],"byte","Gibyte")</f>
        <v>7.4978806031867862</v>
      </c>
    </row>
    <row r="147" spans="1:13" x14ac:dyDescent="0.2">
      <c r="A147" t="s">
        <v>621</v>
      </c>
      <c r="B147" t="s">
        <v>622</v>
      </c>
      <c r="C147" s="3">
        <v>55017756</v>
      </c>
      <c r="D147" s="3">
        <v>53780703</v>
      </c>
      <c r="E147" s="3">
        <v>118902087</v>
      </c>
      <c r="F147" s="3">
        <v>0</v>
      </c>
      <c r="G147" s="3">
        <v>24486</v>
      </c>
      <c r="H147" s="3">
        <v>104805594</v>
      </c>
      <c r="I147" s="3">
        <v>27287542</v>
      </c>
      <c r="J147" s="3">
        <v>0</v>
      </c>
      <c r="K147" s="3">
        <v>18590268</v>
      </c>
      <c r="L147" s="3">
        <f>SUM(C147:K147)</f>
        <v>378408436</v>
      </c>
      <c r="M147" s="4">
        <f>CONVERT(Table7[[#This Row],[Estimation Total]],"byte","Gibyte")</f>
        <v>0.35242031887173653</v>
      </c>
    </row>
    <row r="148" spans="1:13" x14ac:dyDescent="0.2">
      <c r="A148" t="s">
        <v>285</v>
      </c>
      <c r="B148" t="s">
        <v>286</v>
      </c>
      <c r="C148" s="3">
        <v>25240707</v>
      </c>
      <c r="D148" s="3">
        <v>43764303</v>
      </c>
      <c r="E148" s="3">
        <v>194865570</v>
      </c>
      <c r="F148" s="3">
        <v>0</v>
      </c>
      <c r="G148" s="3">
        <v>963858</v>
      </c>
      <c r="H148" s="3">
        <v>162684316</v>
      </c>
      <c r="I148" s="3">
        <v>48445176</v>
      </c>
      <c r="J148" s="3">
        <v>0</v>
      </c>
      <c r="K148" s="3">
        <v>10012607</v>
      </c>
      <c r="L148" s="3">
        <f>SUM(C148:K148)</f>
        <v>485976537</v>
      </c>
      <c r="M148" s="4">
        <f>CONVERT(Table7[[#This Row],[Estimation Total]],"byte","Gibyte")</f>
        <v>0.45260091964155436</v>
      </c>
    </row>
    <row r="149" spans="1:13" x14ac:dyDescent="0.2">
      <c r="A149" t="s">
        <v>204</v>
      </c>
      <c r="B149" t="s">
        <v>205</v>
      </c>
      <c r="C149" s="3">
        <v>24462</v>
      </c>
      <c r="D149" s="3">
        <v>29460</v>
      </c>
      <c r="E149" s="3">
        <v>118269</v>
      </c>
      <c r="F149" s="3">
        <v>885</v>
      </c>
      <c r="G149" s="3">
        <v>2226</v>
      </c>
      <c r="H149" s="3">
        <v>120350</v>
      </c>
      <c r="I149" s="3">
        <v>135020</v>
      </c>
      <c r="J149" s="3">
        <v>0</v>
      </c>
      <c r="K149" s="3">
        <v>7414</v>
      </c>
      <c r="L149" s="3">
        <f>SUM(C149:K149)</f>
        <v>438086</v>
      </c>
      <c r="M149" s="4">
        <f>CONVERT(Table7[[#This Row],[Estimation Total]],"byte","Gibyte")</f>
        <v>4.0799938142299652E-4</v>
      </c>
    </row>
    <row r="150" spans="1:13" x14ac:dyDescent="0.2">
      <c r="A150" t="s">
        <v>388</v>
      </c>
      <c r="B150" t="s">
        <v>389</v>
      </c>
      <c r="C150" s="3">
        <v>1684093185</v>
      </c>
      <c r="D150" s="3">
        <v>4782125433</v>
      </c>
      <c r="E150" s="3">
        <v>6999736851</v>
      </c>
      <c r="F150" s="3">
        <v>295</v>
      </c>
      <c r="G150" s="3">
        <v>1495872</v>
      </c>
      <c r="H150" s="3">
        <v>3752419127</v>
      </c>
      <c r="I150" s="3">
        <v>2604441286</v>
      </c>
      <c r="J150" s="3">
        <v>0</v>
      </c>
      <c r="K150" s="3">
        <v>2979310171</v>
      </c>
      <c r="L150" s="3">
        <f>SUM(C150:K150)</f>
        <v>22803622220</v>
      </c>
      <c r="M150" s="4">
        <f>CONVERT(Table7[[#This Row],[Estimation Total]],"byte","Gibyte")</f>
        <v>21.237528156489134</v>
      </c>
    </row>
    <row r="151" spans="1:13" x14ac:dyDescent="0.2">
      <c r="A151" t="s">
        <v>366</v>
      </c>
      <c r="B151" t="s">
        <v>367</v>
      </c>
      <c r="C151" s="3">
        <v>77679081</v>
      </c>
      <c r="D151" s="3">
        <v>4046551950</v>
      </c>
      <c r="E151" s="3">
        <v>983031057</v>
      </c>
      <c r="F151" s="3">
        <v>0</v>
      </c>
      <c r="G151" s="3">
        <v>269346</v>
      </c>
      <c r="H151" s="3">
        <v>545418979</v>
      </c>
      <c r="I151" s="3">
        <v>210266646</v>
      </c>
      <c r="J151" s="3">
        <v>0</v>
      </c>
      <c r="K151" s="3">
        <v>964530059</v>
      </c>
      <c r="L151" s="3">
        <f>SUM(C151:K151)</f>
        <v>6827747118</v>
      </c>
      <c r="M151" s="4">
        <f>CONVERT(Table7[[#This Row],[Estimation Total]],"byte","Gibyte")</f>
        <v>6.3588350247591734</v>
      </c>
    </row>
    <row r="152" spans="1:13" x14ac:dyDescent="0.2">
      <c r="A152" t="s">
        <v>572</v>
      </c>
      <c r="B152" t="s">
        <v>573</v>
      </c>
      <c r="C152" s="3">
        <v>43422768</v>
      </c>
      <c r="D152" s="3">
        <v>635587716</v>
      </c>
      <c r="E152" s="3">
        <v>713349909</v>
      </c>
      <c r="F152" s="3">
        <v>0</v>
      </c>
      <c r="G152" s="3">
        <v>1854258</v>
      </c>
      <c r="H152" s="3">
        <v>468240931</v>
      </c>
      <c r="I152" s="3">
        <v>72208696</v>
      </c>
      <c r="J152" s="3">
        <v>0</v>
      </c>
      <c r="K152" s="3">
        <v>144819347</v>
      </c>
      <c r="L152" s="3">
        <f>SUM(C152:K152)</f>
        <v>2079483625</v>
      </c>
      <c r="M152" s="4">
        <f>CONVERT(Table7[[#This Row],[Estimation Total]],"byte","Gibyte")</f>
        <v>1.9366700435057282</v>
      </c>
    </row>
    <row r="153" spans="1:13" x14ac:dyDescent="0.2">
      <c r="A153" t="s">
        <v>794</v>
      </c>
      <c r="B153" t="s">
        <v>795</v>
      </c>
      <c r="C153" s="3">
        <v>339978312</v>
      </c>
      <c r="D153" s="3">
        <v>865290282</v>
      </c>
      <c r="E153" s="3">
        <v>4577942538</v>
      </c>
      <c r="F153" s="3">
        <v>0</v>
      </c>
      <c r="G153" s="3">
        <v>17877006</v>
      </c>
      <c r="H153" s="3">
        <v>3112096952</v>
      </c>
      <c r="I153" s="3">
        <v>821745222</v>
      </c>
      <c r="J153" s="3">
        <v>0</v>
      </c>
      <c r="K153" s="3">
        <v>199535678</v>
      </c>
      <c r="L153" s="3">
        <f>SUM(C153:K153)</f>
        <v>9934465990</v>
      </c>
      <c r="M153" s="4">
        <f>CONVERT(Table7[[#This Row],[Estimation Total]],"byte","Gibyte")</f>
        <v>9.2521924432367086</v>
      </c>
    </row>
    <row r="154" spans="1:13" x14ac:dyDescent="0.2">
      <c r="A154" t="s">
        <v>384</v>
      </c>
      <c r="B154" t="s">
        <v>385</v>
      </c>
      <c r="C154" s="3">
        <v>168472512</v>
      </c>
      <c r="D154" s="3">
        <v>1043314116</v>
      </c>
      <c r="E154" s="3">
        <v>172422288</v>
      </c>
      <c r="F154" s="3">
        <v>0</v>
      </c>
      <c r="G154" s="3">
        <v>0</v>
      </c>
      <c r="H154" s="3">
        <v>0</v>
      </c>
      <c r="I154" s="3">
        <v>6440454</v>
      </c>
      <c r="J154" s="3">
        <v>0</v>
      </c>
      <c r="K154" s="3">
        <v>273513918</v>
      </c>
      <c r="L154" s="3">
        <f>SUM(C154:K154)</f>
        <v>1664163288</v>
      </c>
      <c r="M154" s="4">
        <f>CONVERT(Table7[[#This Row],[Estimation Total]],"byte","Gibyte")</f>
        <v>1.5498728379607201</v>
      </c>
    </row>
    <row r="155" spans="1:13" x14ac:dyDescent="0.2">
      <c r="A155" t="s">
        <v>766</v>
      </c>
      <c r="B155" t="s">
        <v>767</v>
      </c>
      <c r="C155" s="3">
        <v>12438927</v>
      </c>
      <c r="D155" s="3">
        <v>22363086</v>
      </c>
      <c r="E155" s="3">
        <v>126902637</v>
      </c>
      <c r="F155" s="3">
        <v>0</v>
      </c>
      <c r="G155" s="3">
        <v>40068</v>
      </c>
      <c r="H155" s="3">
        <v>85087450</v>
      </c>
      <c r="I155" s="3">
        <v>176970714</v>
      </c>
      <c r="J155" s="3">
        <v>39000</v>
      </c>
      <c r="K155" s="3">
        <v>5186767</v>
      </c>
      <c r="L155" s="3">
        <f>SUM(C155:K155)</f>
        <v>429028649</v>
      </c>
      <c r="M155" s="4">
        <f>CONVERT(Table7[[#This Row],[Estimation Total]],"byte","Gibyte")</f>
        <v>0.39956406597048044</v>
      </c>
    </row>
    <row r="156" spans="1:13" x14ac:dyDescent="0.2">
      <c r="A156" t="s">
        <v>638</v>
      </c>
      <c r="B156" t="s">
        <v>639</v>
      </c>
      <c r="C156" s="3">
        <v>4395006</v>
      </c>
      <c r="D156" s="3">
        <v>9817545</v>
      </c>
      <c r="E156" s="3">
        <v>47050191</v>
      </c>
      <c r="F156" s="3">
        <v>0</v>
      </c>
      <c r="G156" s="3">
        <v>580986</v>
      </c>
      <c r="H156" s="3">
        <v>43087707</v>
      </c>
      <c r="I156" s="3">
        <v>47189490</v>
      </c>
      <c r="J156" s="3">
        <v>0</v>
      </c>
      <c r="K156" s="3">
        <v>2952794</v>
      </c>
      <c r="L156" s="3">
        <f>SUM(C156:K156)</f>
        <v>155073719</v>
      </c>
      <c r="M156" s="4">
        <f>CONVERT(Table7[[#This Row],[Estimation Total]],"byte","Gibyte")</f>
        <v>0.14442365523427725</v>
      </c>
    </row>
    <row r="157" spans="1:13" x14ac:dyDescent="0.2">
      <c r="A157" t="s">
        <v>490</v>
      </c>
      <c r="B157" t="s">
        <v>491</v>
      </c>
      <c r="C157" s="3">
        <v>450876789</v>
      </c>
      <c r="D157" s="3">
        <v>994918701</v>
      </c>
      <c r="E157" s="3">
        <v>2981345823</v>
      </c>
      <c r="F157" s="3">
        <v>0</v>
      </c>
      <c r="G157" s="3">
        <v>5531610</v>
      </c>
      <c r="H157" s="3">
        <v>3031948666</v>
      </c>
      <c r="I157" s="3">
        <v>795564844</v>
      </c>
      <c r="J157" s="3">
        <v>0</v>
      </c>
      <c r="K157" s="3">
        <v>227654284</v>
      </c>
      <c r="L157" s="3">
        <f>SUM(C157:K157)</f>
        <v>8487840717</v>
      </c>
      <c r="M157" s="4">
        <f>CONVERT(Table7[[#This Row],[Estimation Total]],"byte","Gibyte")</f>
        <v>7.9049176694825292</v>
      </c>
    </row>
    <row r="158" spans="1:13" x14ac:dyDescent="0.2">
      <c r="A158" t="s">
        <v>353</v>
      </c>
      <c r="B158" t="s">
        <v>354</v>
      </c>
      <c r="C158" s="3">
        <v>111058839</v>
      </c>
      <c r="D158" s="3">
        <v>222297795</v>
      </c>
      <c r="E158" s="3">
        <v>947230335</v>
      </c>
      <c r="F158" s="3">
        <v>0</v>
      </c>
      <c r="G158" s="3">
        <v>140238</v>
      </c>
      <c r="H158" s="3">
        <v>750728858</v>
      </c>
      <c r="I158" s="3">
        <v>220042094</v>
      </c>
      <c r="J158" s="3">
        <v>0</v>
      </c>
      <c r="K158" s="3">
        <v>50859366</v>
      </c>
      <c r="L158" s="3">
        <f>SUM(C158:K158)</f>
        <v>2302357525</v>
      </c>
      <c r="M158" s="4">
        <f>CONVERT(Table7[[#This Row],[Estimation Total]],"byte","Gibyte")</f>
        <v>2.1442375378683209</v>
      </c>
    </row>
    <row r="159" spans="1:13" x14ac:dyDescent="0.2">
      <c r="A159" t="s">
        <v>470</v>
      </c>
      <c r="B159" t="s">
        <v>471</v>
      </c>
      <c r="C159" s="3">
        <v>186533622</v>
      </c>
      <c r="D159" s="3">
        <v>714514002</v>
      </c>
      <c r="E159" s="3">
        <v>2723908995</v>
      </c>
      <c r="F159" s="3">
        <v>0</v>
      </c>
      <c r="G159" s="3">
        <v>394002</v>
      </c>
      <c r="H159" s="3">
        <v>2907164972</v>
      </c>
      <c r="I159" s="3">
        <v>578236652</v>
      </c>
      <c r="J159" s="3">
        <v>0</v>
      </c>
      <c r="K159" s="3">
        <v>165693464</v>
      </c>
      <c r="L159" s="3">
        <f>SUM(C159:K159)</f>
        <v>7276445709</v>
      </c>
      <c r="M159" s="4">
        <f>CONVERT(Table7[[#This Row],[Estimation Total]],"byte","Gibyte")</f>
        <v>6.776718151755631</v>
      </c>
    </row>
    <row r="160" spans="1:13" x14ac:dyDescent="0.2">
      <c r="A160" t="s">
        <v>679</v>
      </c>
      <c r="B160" t="s">
        <v>680</v>
      </c>
      <c r="C160" s="3">
        <v>405767502</v>
      </c>
      <c r="D160" s="3">
        <v>6626859078</v>
      </c>
      <c r="E160" s="3">
        <v>619159086</v>
      </c>
      <c r="F160" s="3">
        <v>0</v>
      </c>
      <c r="G160" s="3">
        <v>0</v>
      </c>
      <c r="H160" s="3">
        <v>0</v>
      </c>
      <c r="I160" s="3">
        <v>9221866</v>
      </c>
      <c r="J160" s="3">
        <v>0</v>
      </c>
      <c r="K160" s="3">
        <v>1776708484</v>
      </c>
      <c r="L160" s="3">
        <f>SUM(C160:K160)</f>
        <v>9437716016</v>
      </c>
      <c r="M160" s="4">
        <f>CONVERT(Table7[[#This Row],[Estimation Total]],"byte","Gibyte")</f>
        <v>8.7895579785108566</v>
      </c>
    </row>
    <row r="161" spans="1:13" x14ac:dyDescent="0.2">
      <c r="A161" t="s">
        <v>111</v>
      </c>
      <c r="B161" t="s">
        <v>112</v>
      </c>
      <c r="C161" s="3">
        <v>118618956</v>
      </c>
      <c r="D161" s="3">
        <v>214377474</v>
      </c>
      <c r="E161" s="3">
        <v>592103313</v>
      </c>
      <c r="F161" s="3">
        <v>0</v>
      </c>
      <c r="G161" s="3">
        <v>17358348</v>
      </c>
      <c r="H161" s="3">
        <v>3754005340</v>
      </c>
      <c r="I161" s="3">
        <v>32904374</v>
      </c>
      <c r="J161" s="3">
        <v>0</v>
      </c>
      <c r="K161" s="3">
        <v>49119098</v>
      </c>
      <c r="L161" s="3">
        <f>SUM(C161:K161)</f>
        <v>4778486903</v>
      </c>
      <c r="M161" s="4">
        <f>CONVERT(Table7[[#This Row],[Estimation Total]],"byte","Gibyte")</f>
        <v>4.4503127252683043</v>
      </c>
    </row>
    <row r="162" spans="1:13" x14ac:dyDescent="0.2">
      <c r="A162" t="s">
        <v>532</v>
      </c>
      <c r="B162" t="s">
        <v>533</v>
      </c>
      <c r="C162" s="3">
        <v>262232640</v>
      </c>
      <c r="D162" s="3">
        <v>905192379</v>
      </c>
      <c r="E162" s="3">
        <v>2221175304</v>
      </c>
      <c r="F162" s="3">
        <v>0</v>
      </c>
      <c r="G162" s="3">
        <v>616602</v>
      </c>
      <c r="H162" s="3">
        <v>5484159347</v>
      </c>
      <c r="I162" s="3">
        <v>356236768</v>
      </c>
      <c r="J162" s="3">
        <v>0</v>
      </c>
      <c r="K162" s="3">
        <v>208558853</v>
      </c>
      <c r="L162" s="3">
        <f>SUM(C162:K162)</f>
        <v>9438171893</v>
      </c>
      <c r="M162" s="4">
        <f>CONVERT(Table7[[#This Row],[Estimation Total]],"byte","Gibyte")</f>
        <v>8.7899825470522046</v>
      </c>
    </row>
    <row r="163" spans="1:13" x14ac:dyDescent="0.2">
      <c r="A163" t="s">
        <v>803</v>
      </c>
      <c r="B163" t="s">
        <v>804</v>
      </c>
      <c r="C163" s="3">
        <v>94628529</v>
      </c>
      <c r="D163" s="3">
        <v>661645086</v>
      </c>
      <c r="E163" s="3">
        <v>1250569449</v>
      </c>
      <c r="F163" s="3">
        <v>0</v>
      </c>
      <c r="G163" s="3">
        <v>15711108</v>
      </c>
      <c r="H163" s="3">
        <v>759613095</v>
      </c>
      <c r="I163" s="3">
        <v>2175671774</v>
      </c>
      <c r="J163" s="3">
        <v>0</v>
      </c>
      <c r="K163" s="3">
        <v>137611591</v>
      </c>
      <c r="L163" s="3">
        <f>SUM(C163:K163)</f>
        <v>5095450632</v>
      </c>
      <c r="M163" s="4">
        <f>CONVERT(Table7[[#This Row],[Estimation Total]],"byte","Gibyte")</f>
        <v>4.7455082014203072</v>
      </c>
    </row>
    <row r="164" spans="1:13" x14ac:dyDescent="0.2">
      <c r="A164" t="s">
        <v>235</v>
      </c>
      <c r="B164" t="s">
        <v>236</v>
      </c>
      <c r="C164" s="3">
        <v>74236734</v>
      </c>
      <c r="D164" s="3">
        <v>179247897</v>
      </c>
      <c r="E164" s="3">
        <v>783706050</v>
      </c>
      <c r="F164" s="3">
        <v>0</v>
      </c>
      <c r="G164" s="3">
        <v>2326170</v>
      </c>
      <c r="H164" s="3">
        <v>805223338</v>
      </c>
      <c r="I164" s="3">
        <v>67428988</v>
      </c>
      <c r="J164" s="3">
        <v>0</v>
      </c>
      <c r="K164" s="3">
        <v>41010541</v>
      </c>
      <c r="L164" s="3">
        <f>SUM(C164:K164)</f>
        <v>1953179718</v>
      </c>
      <c r="M164" s="4">
        <f>CONVERT(Table7[[#This Row],[Estimation Total]],"byte","Gibyte")</f>
        <v>1.8190403636544943</v>
      </c>
    </row>
    <row r="165" spans="1:13" x14ac:dyDescent="0.2">
      <c r="A165" t="s">
        <v>95</v>
      </c>
      <c r="B165" t="s">
        <v>96</v>
      </c>
      <c r="C165" s="3">
        <v>6795</v>
      </c>
      <c r="D165" s="3">
        <v>7365</v>
      </c>
      <c r="E165" s="3">
        <v>0</v>
      </c>
      <c r="F165" s="3">
        <v>0</v>
      </c>
      <c r="G165" s="3">
        <v>0</v>
      </c>
      <c r="H165" s="3">
        <v>0</v>
      </c>
      <c r="I165" s="3">
        <v>0</v>
      </c>
      <c r="J165" s="3">
        <v>0</v>
      </c>
      <c r="K165" s="3">
        <v>1348</v>
      </c>
      <c r="L165" s="3">
        <f>SUM(C165:K165)</f>
        <v>15508</v>
      </c>
      <c r="M165" s="4">
        <f>CONVERT(Table7[[#This Row],[Estimation Total]],"byte","Gibyte")</f>
        <v>1.4442950487136841E-5</v>
      </c>
    </row>
    <row r="166" spans="1:13" x14ac:dyDescent="0.2">
      <c r="A166" t="s">
        <v>595</v>
      </c>
      <c r="B166" t="s">
        <v>596</v>
      </c>
      <c r="C166" s="3">
        <v>1300563</v>
      </c>
      <c r="D166" s="3">
        <v>1468581</v>
      </c>
      <c r="E166" s="3">
        <v>11047716</v>
      </c>
      <c r="F166" s="3">
        <v>0</v>
      </c>
      <c r="G166" s="3">
        <v>8904</v>
      </c>
      <c r="H166" s="3">
        <v>11052944</v>
      </c>
      <c r="I166" s="3">
        <v>6305434</v>
      </c>
      <c r="J166" s="3">
        <v>0</v>
      </c>
      <c r="K166" s="3">
        <v>343403</v>
      </c>
      <c r="L166" s="3">
        <f>SUM(C166:K166)</f>
        <v>31527545</v>
      </c>
      <c r="M166" s="4">
        <f>CONVERT(Table7[[#This Row],[Estimation Total]],"byte","Gibyte")</f>
        <v>2.9362314380705357E-2</v>
      </c>
    </row>
    <row r="167" spans="1:13" x14ac:dyDescent="0.2">
      <c r="A167" t="s">
        <v>345</v>
      </c>
      <c r="B167" t="s">
        <v>346</v>
      </c>
      <c r="C167" s="3">
        <v>84906243</v>
      </c>
      <c r="D167" s="3">
        <v>1114336284</v>
      </c>
      <c r="E167" s="3">
        <v>31549995</v>
      </c>
      <c r="F167" s="3">
        <v>0</v>
      </c>
      <c r="G167" s="3">
        <v>0</v>
      </c>
      <c r="H167" s="3">
        <v>0</v>
      </c>
      <c r="I167" s="3">
        <v>1377204</v>
      </c>
      <c r="J167" s="3">
        <v>0</v>
      </c>
      <c r="K167" s="3">
        <v>279978589</v>
      </c>
      <c r="L167" s="3">
        <f>SUM(C167:K167)</f>
        <v>1512148315</v>
      </c>
      <c r="M167" s="4">
        <f>CONVERT(Table7[[#This Row],[Estimation Total]],"byte","Gibyte")</f>
        <v>1.4082978619262576</v>
      </c>
    </row>
    <row r="168" spans="1:13" x14ac:dyDescent="0.2">
      <c r="A168" t="s">
        <v>770</v>
      </c>
      <c r="B168" t="s">
        <v>771</v>
      </c>
      <c r="C168" s="3">
        <v>194173920</v>
      </c>
      <c r="D168" s="3">
        <v>655443756</v>
      </c>
      <c r="E168" s="3">
        <v>74043351</v>
      </c>
      <c r="F168" s="3">
        <v>0</v>
      </c>
      <c r="G168" s="3">
        <v>0</v>
      </c>
      <c r="H168" s="3">
        <v>0</v>
      </c>
      <c r="I168" s="3">
        <v>1485220</v>
      </c>
      <c r="J168" s="3">
        <v>111696</v>
      </c>
      <c r="K168" s="3">
        <v>212670253</v>
      </c>
      <c r="L168" s="3">
        <f>SUM(C168:K168)</f>
        <v>1137928196</v>
      </c>
      <c r="M168" s="4">
        <f>CONVERT(Table7[[#This Row],[Estimation Total]],"byte","Gibyte")</f>
        <v>1.0597782172262669</v>
      </c>
    </row>
    <row r="169" spans="1:13" x14ac:dyDescent="0.2">
      <c r="A169" t="s">
        <v>426</v>
      </c>
      <c r="B169" t="s">
        <v>427</v>
      </c>
      <c r="C169" s="3">
        <v>154648764</v>
      </c>
      <c r="D169" s="3">
        <v>574284402</v>
      </c>
      <c r="E169" s="3">
        <v>93070746</v>
      </c>
      <c r="F169" s="3">
        <v>0</v>
      </c>
      <c r="G169" s="3">
        <v>0</v>
      </c>
      <c r="H169" s="3">
        <v>0</v>
      </c>
      <c r="I169" s="3">
        <v>877630</v>
      </c>
      <c r="J169" s="3">
        <v>0</v>
      </c>
      <c r="K169" s="3">
        <v>154295450</v>
      </c>
      <c r="L169" s="3">
        <f>SUM(C169:K169)</f>
        <v>977176992</v>
      </c>
      <c r="M169" s="4">
        <f>CONVERT(Table7[[#This Row],[Estimation Total]],"byte","Gibyte")</f>
        <v>0.91006699204444885</v>
      </c>
    </row>
    <row r="170" spans="1:13" x14ac:dyDescent="0.2">
      <c r="A170" t="s">
        <v>554</v>
      </c>
      <c r="B170" t="s">
        <v>555</v>
      </c>
      <c r="C170" s="3">
        <v>28346022</v>
      </c>
      <c r="D170" s="3">
        <v>100118337</v>
      </c>
      <c r="E170" s="3">
        <v>432544518</v>
      </c>
      <c r="F170" s="3">
        <v>0</v>
      </c>
      <c r="G170" s="3">
        <v>391776</v>
      </c>
      <c r="H170" s="3">
        <v>533680040</v>
      </c>
      <c r="I170" s="3">
        <v>38818250</v>
      </c>
      <c r="J170" s="3">
        <v>0</v>
      </c>
      <c r="K170" s="3">
        <v>22907575</v>
      </c>
      <c r="L170" s="3">
        <f>SUM(C170:K170)</f>
        <v>1156806518</v>
      </c>
      <c r="M170" s="4">
        <f>CONVERT(Table7[[#This Row],[Estimation Total]],"byte","Gibyte")</f>
        <v>1.0773600246757269</v>
      </c>
    </row>
    <row r="171" spans="1:13" x14ac:dyDescent="0.2">
      <c r="A171" t="s">
        <v>458</v>
      </c>
      <c r="B171" t="s">
        <v>459</v>
      </c>
      <c r="C171" s="3">
        <v>167662548</v>
      </c>
      <c r="D171" s="3">
        <v>1021288347</v>
      </c>
      <c r="E171" s="3">
        <v>562278654</v>
      </c>
      <c r="F171" s="3">
        <v>2360</v>
      </c>
      <c r="G171" s="3">
        <v>385098</v>
      </c>
      <c r="H171" s="3">
        <v>530464288</v>
      </c>
      <c r="I171" s="3">
        <v>594911622</v>
      </c>
      <c r="J171" s="3">
        <v>0</v>
      </c>
      <c r="K171" s="3">
        <v>258303760</v>
      </c>
      <c r="L171" s="3">
        <f>SUM(C171:K171)</f>
        <v>3135296677</v>
      </c>
      <c r="M171" s="4">
        <f>CONVERT(Table7[[#This Row],[Estimation Total]],"byte","Gibyte")</f>
        <v>2.9199725734069943</v>
      </c>
    </row>
    <row r="172" spans="1:13" x14ac:dyDescent="0.2">
      <c r="A172" t="s">
        <v>625</v>
      </c>
      <c r="B172" t="s">
        <v>626</v>
      </c>
      <c r="C172" s="3">
        <v>0</v>
      </c>
      <c r="D172" s="3">
        <v>0</v>
      </c>
      <c r="E172" s="3">
        <v>0</v>
      </c>
      <c r="F172" s="3">
        <v>0</v>
      </c>
      <c r="G172" s="3">
        <v>0</v>
      </c>
      <c r="H172" s="3">
        <v>0</v>
      </c>
      <c r="I172" s="3">
        <v>0</v>
      </c>
      <c r="J172" s="3">
        <v>0</v>
      </c>
      <c r="K172" s="3">
        <v>0</v>
      </c>
      <c r="L172" s="3">
        <f>SUM(C172:K172)</f>
        <v>0</v>
      </c>
      <c r="M172" s="4">
        <f>CONVERT(Table7[[#This Row],[Estimation Total]],"byte","Gibyte")</f>
        <v>0</v>
      </c>
    </row>
    <row r="173" spans="1:13" x14ac:dyDescent="0.2">
      <c r="A173" t="s">
        <v>502</v>
      </c>
      <c r="B173" t="s">
        <v>503</v>
      </c>
      <c r="C173" s="3">
        <v>1016699157</v>
      </c>
      <c r="D173" s="3">
        <v>19698203631</v>
      </c>
      <c r="E173" s="3">
        <v>2323317978</v>
      </c>
      <c r="F173" s="3">
        <v>15363600</v>
      </c>
      <c r="G173" s="3">
        <v>200340</v>
      </c>
      <c r="H173" s="3">
        <v>1269511975</v>
      </c>
      <c r="I173" s="3">
        <v>284784184</v>
      </c>
      <c r="J173" s="3">
        <v>0</v>
      </c>
      <c r="K173" s="3">
        <v>5946660886</v>
      </c>
      <c r="L173" s="3">
        <f>SUM(C173:K173)</f>
        <v>30554741751</v>
      </c>
      <c r="M173" s="4">
        <f>CONVERT(Table7[[#This Row],[Estimation Total]],"byte","Gibyte")</f>
        <v>28.456320754252374</v>
      </c>
    </row>
    <row r="174" spans="1:13" x14ac:dyDescent="0.2">
      <c r="A174" t="s">
        <v>357</v>
      </c>
      <c r="B174" t="s">
        <v>358</v>
      </c>
      <c r="C174" s="3">
        <v>124181343</v>
      </c>
      <c r="D174" s="3">
        <v>326122200</v>
      </c>
      <c r="E174" s="3">
        <v>781897230</v>
      </c>
      <c r="F174" s="3">
        <v>5005265</v>
      </c>
      <c r="G174" s="3">
        <v>928242</v>
      </c>
      <c r="H174" s="3">
        <v>751491877</v>
      </c>
      <c r="I174" s="3">
        <v>1084561652</v>
      </c>
      <c r="J174" s="3">
        <v>0</v>
      </c>
      <c r="K174" s="3">
        <v>74612474</v>
      </c>
      <c r="L174" s="3">
        <f>SUM(C174:K174)</f>
        <v>3148800283</v>
      </c>
      <c r="M174" s="4">
        <f>CONVERT(Table7[[#This Row],[Estimation Total]],"byte","Gibyte")</f>
        <v>2.9325487865135074</v>
      </c>
    </row>
    <row r="175" spans="1:13" x14ac:dyDescent="0.2">
      <c r="A175" t="s">
        <v>303</v>
      </c>
      <c r="B175" t="s">
        <v>304</v>
      </c>
      <c r="C175" s="3">
        <v>518569938</v>
      </c>
      <c r="D175" s="3">
        <v>3706636578</v>
      </c>
      <c r="E175" s="3">
        <v>5249703501</v>
      </c>
      <c r="F175" s="3">
        <v>6490</v>
      </c>
      <c r="G175" s="3">
        <v>10137204</v>
      </c>
      <c r="H175" s="3">
        <v>5803414199</v>
      </c>
      <c r="I175" s="3">
        <v>2120772642</v>
      </c>
      <c r="J175" s="3">
        <v>0</v>
      </c>
      <c r="K175" s="3">
        <v>1170380780</v>
      </c>
      <c r="L175" s="3">
        <f>SUM(C175:K175)</f>
        <v>18579621332</v>
      </c>
      <c r="M175" s="4">
        <f>CONVERT(Table7[[#This Row],[Estimation Total]],"byte","Gibyte")</f>
        <v>17.303620774298906</v>
      </c>
    </row>
    <row r="176" spans="1:13" x14ac:dyDescent="0.2">
      <c r="A176" t="s">
        <v>600</v>
      </c>
      <c r="B176" t="s">
        <v>601</v>
      </c>
      <c r="C176" s="3">
        <v>249725763</v>
      </c>
      <c r="D176" s="3">
        <v>4611544668</v>
      </c>
      <c r="E176" s="3">
        <v>110825010</v>
      </c>
      <c r="F176" s="3">
        <v>0</v>
      </c>
      <c r="G176" s="3">
        <v>0</v>
      </c>
      <c r="H176" s="3">
        <v>0</v>
      </c>
      <c r="I176" s="3">
        <v>5211772</v>
      </c>
      <c r="J176" s="3">
        <v>0</v>
      </c>
      <c r="K176" s="3">
        <v>1105877295</v>
      </c>
      <c r="L176" s="3">
        <f>SUM(C176:K176)</f>
        <v>6083184508</v>
      </c>
      <c r="M176" s="4">
        <f>CONVERT(Table7[[#This Row],[Estimation Total]],"byte","Gibyte")</f>
        <v>5.665407057851553</v>
      </c>
    </row>
    <row r="177" spans="1:13" x14ac:dyDescent="0.2">
      <c r="A177" t="s">
        <v>718</v>
      </c>
      <c r="B177" t="s">
        <v>719</v>
      </c>
      <c r="C177" s="3">
        <v>46888218</v>
      </c>
      <c r="D177" s="3">
        <v>126854760</v>
      </c>
      <c r="E177" s="3">
        <v>5377761</v>
      </c>
      <c r="F177" s="3">
        <v>0</v>
      </c>
      <c r="G177" s="3">
        <v>0</v>
      </c>
      <c r="H177" s="3">
        <v>0</v>
      </c>
      <c r="I177" s="3">
        <v>337550</v>
      </c>
      <c r="J177" s="3">
        <v>0</v>
      </c>
      <c r="K177" s="3">
        <v>41943020</v>
      </c>
      <c r="L177" s="3">
        <f>SUM(C177:K177)</f>
        <v>221401309</v>
      </c>
      <c r="M177" s="4">
        <f>CONVERT(Table7[[#This Row],[Estimation Total]],"byte","Gibyte")</f>
        <v>0.20619603712111712</v>
      </c>
    </row>
    <row r="178" spans="1:13" x14ac:dyDescent="0.2">
      <c r="A178" t="s">
        <v>299</v>
      </c>
      <c r="B178" t="s">
        <v>300</v>
      </c>
      <c r="C178" s="3">
        <v>159762681</v>
      </c>
      <c r="D178" s="3">
        <v>812500908</v>
      </c>
      <c r="E178" s="3">
        <v>2508506361</v>
      </c>
      <c r="F178" s="3">
        <v>0</v>
      </c>
      <c r="G178" s="3">
        <v>1560426</v>
      </c>
      <c r="H178" s="3">
        <v>2798599644</v>
      </c>
      <c r="I178" s="3">
        <v>432631084</v>
      </c>
      <c r="J178" s="3">
        <v>0</v>
      </c>
      <c r="K178" s="3">
        <v>389248143</v>
      </c>
      <c r="L178" s="3">
        <f>SUM(C178:K178)</f>
        <v>7102809247</v>
      </c>
      <c r="M178" s="4">
        <f>CONVERT(Table7[[#This Row],[Estimation Total]],"byte","Gibyte")</f>
        <v>6.6150065949186683</v>
      </c>
    </row>
    <row r="179" spans="1:13" x14ac:dyDescent="0.2">
      <c r="A179" t="s">
        <v>177</v>
      </c>
      <c r="B179" t="s">
        <v>178</v>
      </c>
      <c r="C179" s="3">
        <v>16351488</v>
      </c>
      <c r="D179" s="3">
        <v>46863495</v>
      </c>
      <c r="E179" s="3">
        <v>19876149</v>
      </c>
      <c r="F179" s="3">
        <v>23800305</v>
      </c>
      <c r="G179" s="3">
        <v>0</v>
      </c>
      <c r="H179" s="3">
        <v>0</v>
      </c>
      <c r="I179" s="3">
        <v>945140</v>
      </c>
      <c r="J179" s="3">
        <v>0</v>
      </c>
      <c r="K179" s="3">
        <v>13309815</v>
      </c>
      <c r="L179" s="3">
        <f>SUM(C179:K179)</f>
        <v>121146392</v>
      </c>
      <c r="M179" s="4">
        <f>CONVERT(Table7[[#This Row],[Estimation Total]],"byte","Gibyte")</f>
        <v>0.11282636970281601</v>
      </c>
    </row>
    <row r="180" spans="1:13" x14ac:dyDescent="0.2">
      <c r="A180" t="s">
        <v>270</v>
      </c>
      <c r="B180" t="s">
        <v>271</v>
      </c>
      <c r="C180" s="3">
        <v>543231711</v>
      </c>
      <c r="D180" s="3">
        <v>11896715433</v>
      </c>
      <c r="E180" s="3">
        <v>2155466439</v>
      </c>
      <c r="F180" s="3">
        <v>2065</v>
      </c>
      <c r="G180" s="3">
        <v>4452</v>
      </c>
      <c r="H180" s="3">
        <v>31228418</v>
      </c>
      <c r="I180" s="3">
        <v>41167598</v>
      </c>
      <c r="J180" s="3">
        <v>0</v>
      </c>
      <c r="K180" s="3">
        <v>3074268009</v>
      </c>
      <c r="L180" s="3">
        <f>SUM(C180:K180)</f>
        <v>17742084125</v>
      </c>
      <c r="M180" s="4">
        <f>CONVERT(Table7[[#This Row],[Estimation Total]],"byte","Gibyte")</f>
        <v>16.523603466339409</v>
      </c>
    </row>
    <row r="181" spans="1:13" x14ac:dyDescent="0.2">
      <c r="A181" t="s">
        <v>321</v>
      </c>
      <c r="B181" t="s">
        <v>322</v>
      </c>
      <c r="C181" s="3">
        <v>273615624</v>
      </c>
      <c r="D181" s="3">
        <v>3994088109</v>
      </c>
      <c r="E181" s="3">
        <v>763600320</v>
      </c>
      <c r="F181" s="3">
        <v>885</v>
      </c>
      <c r="G181" s="3">
        <v>0</v>
      </c>
      <c r="H181" s="3">
        <v>0</v>
      </c>
      <c r="I181" s="3">
        <v>23304452</v>
      </c>
      <c r="J181" s="3">
        <v>0</v>
      </c>
      <c r="K181" s="3">
        <v>1006895003</v>
      </c>
      <c r="L181" s="3">
        <f>SUM(C181:K181)</f>
        <v>6061504393</v>
      </c>
      <c r="M181" s="4">
        <f>CONVERT(Table7[[#This Row],[Estimation Total]],"byte","Gibyte")</f>
        <v>5.6452158773317933</v>
      </c>
    </row>
    <row r="182" spans="1:13" x14ac:dyDescent="0.2">
      <c r="A182" t="s">
        <v>417</v>
      </c>
      <c r="B182" t="s">
        <v>418</v>
      </c>
      <c r="C182" s="3">
        <v>265021308</v>
      </c>
      <c r="D182" s="3">
        <v>5171847354</v>
      </c>
      <c r="E182" s="3">
        <v>1041741180</v>
      </c>
      <c r="F182" s="3">
        <v>0</v>
      </c>
      <c r="G182" s="3">
        <v>380646</v>
      </c>
      <c r="H182" s="3">
        <v>342130980</v>
      </c>
      <c r="I182" s="3">
        <v>118831102</v>
      </c>
      <c r="J182" s="3">
        <v>0</v>
      </c>
      <c r="K182" s="3">
        <v>1284023583</v>
      </c>
      <c r="L182" s="3">
        <f>SUM(C182:K182)</f>
        <v>8223976153</v>
      </c>
      <c r="M182" s="4">
        <f>CONVERT(Table7[[#This Row],[Estimation Total]],"byte","Gibyte")</f>
        <v>7.6591746443882585</v>
      </c>
    </row>
    <row r="183" spans="1:13" x14ac:dyDescent="0.2">
      <c r="A183" t="s">
        <v>511</v>
      </c>
      <c r="B183" t="s">
        <v>512</v>
      </c>
      <c r="C183" s="3">
        <v>260487684</v>
      </c>
      <c r="D183" s="3">
        <v>1816774632</v>
      </c>
      <c r="E183" s="3">
        <v>166522752</v>
      </c>
      <c r="F183" s="3">
        <v>1180</v>
      </c>
      <c r="G183" s="3">
        <v>0</v>
      </c>
      <c r="H183" s="3">
        <v>416411</v>
      </c>
      <c r="I183" s="3">
        <v>27908634</v>
      </c>
      <c r="J183" s="3">
        <v>0</v>
      </c>
      <c r="K183" s="3">
        <v>516089551</v>
      </c>
      <c r="L183" s="3">
        <f>SUM(C183:K183)</f>
        <v>2788200844</v>
      </c>
      <c r="M183" s="4">
        <f>CONVERT(Table7[[#This Row],[Estimation Total]],"byte","Gibyte")</f>
        <v>2.5967143885791302</v>
      </c>
    </row>
    <row r="184" spans="1:13" x14ac:dyDescent="0.2">
      <c r="A184" t="s">
        <v>227</v>
      </c>
      <c r="B184" t="s">
        <v>228</v>
      </c>
      <c r="C184" s="3">
        <v>74812950</v>
      </c>
      <c r="D184" s="3">
        <v>639636993</v>
      </c>
      <c r="E184" s="3">
        <v>2634615900</v>
      </c>
      <c r="F184" s="3">
        <v>0</v>
      </c>
      <c r="G184" s="3">
        <v>37180878</v>
      </c>
      <c r="H184" s="3">
        <v>2087526111</v>
      </c>
      <c r="I184" s="3">
        <v>322103712</v>
      </c>
      <c r="J184" s="3">
        <v>0</v>
      </c>
      <c r="K184" s="3">
        <v>205367126</v>
      </c>
      <c r="L184" s="3">
        <f>SUM(C184:K184)</f>
        <v>6001243670</v>
      </c>
      <c r="M184" s="4">
        <f>CONVERT(Table7[[#This Row],[Estimation Total]],"byte","Gibyte")</f>
        <v>5.5890937056392431</v>
      </c>
    </row>
    <row r="185" spans="1:13" x14ac:dyDescent="0.2">
      <c r="A185" t="s">
        <v>275</v>
      </c>
      <c r="B185" t="s">
        <v>276</v>
      </c>
      <c r="C185" s="3">
        <v>321334191</v>
      </c>
      <c r="D185" s="3">
        <v>6702163257</v>
      </c>
      <c r="E185" s="3">
        <v>2481095781</v>
      </c>
      <c r="F185" s="3">
        <v>295</v>
      </c>
      <c r="G185" s="3">
        <v>0</v>
      </c>
      <c r="H185" s="3">
        <v>0</v>
      </c>
      <c r="I185" s="3">
        <v>30474014</v>
      </c>
      <c r="J185" s="3">
        <v>0</v>
      </c>
      <c r="K185" s="3">
        <v>1600325043</v>
      </c>
      <c r="L185" s="3">
        <f>SUM(C185:K185)</f>
        <v>11135392581</v>
      </c>
      <c r="M185" s="4">
        <f>CONVERT(Table7[[#This Row],[Estimation Total]],"byte","Gibyte")</f>
        <v>10.370642487891018</v>
      </c>
    </row>
    <row r="186" spans="1:13" x14ac:dyDescent="0.2">
      <c r="A186" t="s">
        <v>435</v>
      </c>
      <c r="B186" t="s">
        <v>436</v>
      </c>
      <c r="C186" s="3">
        <v>151615476</v>
      </c>
      <c r="D186" s="3">
        <v>275685207</v>
      </c>
      <c r="E186" s="3">
        <v>979274277</v>
      </c>
      <c r="F186" s="3">
        <v>15415815</v>
      </c>
      <c r="G186" s="3">
        <v>353934</v>
      </c>
      <c r="H186" s="3">
        <v>969392773</v>
      </c>
      <c r="I186" s="3">
        <v>270931132</v>
      </c>
      <c r="J186" s="3">
        <v>0</v>
      </c>
      <c r="K186" s="3">
        <v>63127177</v>
      </c>
      <c r="L186" s="3">
        <f>SUM(C186:K186)</f>
        <v>2725795791</v>
      </c>
      <c r="M186" s="4">
        <f>CONVERT(Table7[[#This Row],[Estimation Total]],"byte","Gibyte")</f>
        <v>2.5385951539501548</v>
      </c>
    </row>
    <row r="187" spans="1:13" x14ac:dyDescent="0.2">
      <c r="A187" t="s">
        <v>454</v>
      </c>
      <c r="B187" t="s">
        <v>455</v>
      </c>
      <c r="C187" s="3">
        <v>5081301</v>
      </c>
      <c r="D187" s="3">
        <v>6386928</v>
      </c>
      <c r="E187" s="3">
        <v>19514385</v>
      </c>
      <c r="F187" s="3">
        <v>0</v>
      </c>
      <c r="G187" s="3">
        <v>2226</v>
      </c>
      <c r="H187" s="3">
        <v>12778763</v>
      </c>
      <c r="I187" s="3">
        <v>4698696</v>
      </c>
      <c r="J187" s="3">
        <v>0</v>
      </c>
      <c r="K187" s="3">
        <v>1524588</v>
      </c>
      <c r="L187" s="3">
        <f>SUM(C187:K187)</f>
        <v>49986887</v>
      </c>
      <c r="M187" s="4">
        <f>CONVERT(Table7[[#This Row],[Estimation Total]],"byte","Gibyte")</f>
        <v>4.6553916297852993E-2</v>
      </c>
    </row>
    <row r="188" spans="1:13" x14ac:dyDescent="0.2">
      <c r="A188" t="s">
        <v>199</v>
      </c>
      <c r="B188" t="s">
        <v>200</v>
      </c>
      <c r="C188" s="3">
        <v>60118083</v>
      </c>
      <c r="D188" s="3">
        <v>85476717</v>
      </c>
      <c r="E188" s="3">
        <v>1308076011</v>
      </c>
      <c r="F188" s="3">
        <v>0</v>
      </c>
      <c r="G188" s="3">
        <v>440748</v>
      </c>
      <c r="H188" s="3">
        <v>767746348</v>
      </c>
      <c r="I188" s="3">
        <v>307292018</v>
      </c>
      <c r="J188" s="3">
        <v>0</v>
      </c>
      <c r="K188" s="3">
        <v>20651360</v>
      </c>
      <c r="L188" s="3">
        <f>SUM(C188:K188)</f>
        <v>2549801285</v>
      </c>
      <c r="M188" s="4">
        <f>CONVERT(Table7[[#This Row],[Estimation Total]],"byte","Gibyte")</f>
        <v>2.3746874975040555</v>
      </c>
    </row>
    <row r="189" spans="1:13" x14ac:dyDescent="0.2">
      <c r="A189" t="s">
        <v>705</v>
      </c>
      <c r="B189" t="s">
        <v>706</v>
      </c>
      <c r="C189" s="3">
        <v>0</v>
      </c>
      <c r="D189" s="3">
        <v>0</v>
      </c>
      <c r="E189" s="3">
        <v>0</v>
      </c>
      <c r="F189" s="3">
        <v>0</v>
      </c>
      <c r="G189" s="3">
        <v>0</v>
      </c>
      <c r="H189" s="3">
        <v>0</v>
      </c>
      <c r="I189" s="3">
        <v>0</v>
      </c>
      <c r="J189" s="3">
        <v>0</v>
      </c>
      <c r="K189" s="3">
        <v>0</v>
      </c>
      <c r="L189" s="3">
        <f>SUM(C189:K189)</f>
        <v>0</v>
      </c>
      <c r="M189" s="4">
        <f>CONVERT(Table7[[#This Row],[Estimation Total]],"byte","Gibyte")</f>
        <v>0</v>
      </c>
    </row>
    <row r="190" spans="1:13" x14ac:dyDescent="0.2">
      <c r="A190" t="s">
        <v>119</v>
      </c>
      <c r="B190" t="s">
        <v>120</v>
      </c>
      <c r="C190" s="3">
        <v>73013634</v>
      </c>
      <c r="D190" s="3">
        <v>88306350</v>
      </c>
      <c r="E190" s="3">
        <v>422630793</v>
      </c>
      <c r="F190" s="3">
        <v>0</v>
      </c>
      <c r="G190" s="3">
        <v>322770</v>
      </c>
      <c r="H190" s="3">
        <v>454070922</v>
      </c>
      <c r="I190" s="3">
        <v>0</v>
      </c>
      <c r="J190" s="3">
        <v>37128</v>
      </c>
      <c r="K190" s="3">
        <v>25215688</v>
      </c>
      <c r="L190" s="3">
        <f>SUM(C190:K190)</f>
        <v>1063597285</v>
      </c>
      <c r="M190" s="4">
        <f>CONVERT(Table7[[#This Row],[Estimation Total]],"byte","Gibyte")</f>
        <v>0.99055216182023287</v>
      </c>
    </row>
    <row r="191" spans="1:13" x14ac:dyDescent="0.2">
      <c r="A191" t="s">
        <v>562</v>
      </c>
      <c r="B191" t="s">
        <v>563</v>
      </c>
      <c r="C191" s="3">
        <v>2718</v>
      </c>
      <c r="D191" s="3">
        <v>2946</v>
      </c>
      <c r="E191" s="3">
        <v>34785</v>
      </c>
      <c r="F191" s="3">
        <v>0</v>
      </c>
      <c r="G191" s="3">
        <v>0</v>
      </c>
      <c r="H191" s="3">
        <v>33698</v>
      </c>
      <c r="I191" s="3">
        <v>27004</v>
      </c>
      <c r="J191" s="3">
        <v>0</v>
      </c>
      <c r="K191" s="3">
        <v>674</v>
      </c>
      <c r="L191" s="3">
        <f>SUM(C191:K191)</f>
        <v>101825</v>
      </c>
      <c r="M191" s="4">
        <f>CONVERT(Table7[[#This Row],[Estimation Total]],"byte","Gibyte")</f>
        <v>9.48319211602211E-5</v>
      </c>
    </row>
    <row r="192" spans="1:13" x14ac:dyDescent="0.2">
      <c r="A192" t="s">
        <v>222</v>
      </c>
      <c r="B192" t="s">
        <v>223</v>
      </c>
      <c r="C192" s="3">
        <v>39409641</v>
      </c>
      <c r="D192" s="3">
        <v>234754956</v>
      </c>
      <c r="E192" s="3">
        <v>990975951</v>
      </c>
      <c r="F192" s="3">
        <v>0</v>
      </c>
      <c r="G192" s="3">
        <v>2085762</v>
      </c>
      <c r="H192" s="3">
        <v>875791764</v>
      </c>
      <c r="I192" s="3">
        <v>944761944</v>
      </c>
      <c r="J192" s="3">
        <v>0</v>
      </c>
      <c r="K192" s="3">
        <v>70154638</v>
      </c>
      <c r="L192" s="3">
        <f>SUM(C192:K192)</f>
        <v>3157934656</v>
      </c>
      <c r="M192" s="4">
        <f>CONVERT(Table7[[#This Row],[Estimation Total]],"byte","Gibyte")</f>
        <v>2.9410558342933655</v>
      </c>
    </row>
    <row r="193" spans="1:13" x14ac:dyDescent="0.2">
      <c r="A193" t="s">
        <v>714</v>
      </c>
      <c r="B193" t="s">
        <v>715</v>
      </c>
      <c r="C193" s="3">
        <v>10036215</v>
      </c>
      <c r="D193" s="3">
        <v>17021988</v>
      </c>
      <c r="E193" s="3">
        <v>246089961</v>
      </c>
      <c r="F193" s="3">
        <v>0</v>
      </c>
      <c r="G193" s="3">
        <v>0</v>
      </c>
      <c r="H193" s="3">
        <v>0</v>
      </c>
      <c r="I193" s="3">
        <v>29272336</v>
      </c>
      <c r="J193" s="3">
        <v>0</v>
      </c>
      <c r="K193" s="3">
        <v>19907264</v>
      </c>
      <c r="L193" s="3">
        <f>SUM(C193:K193)</f>
        <v>322327764</v>
      </c>
      <c r="M193" s="4">
        <f>CONVERT(Table7[[#This Row],[Estimation Total]],"byte","Gibyte")</f>
        <v>0.30019112303853035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C4"/>
  <sheetViews>
    <sheetView workbookViewId="0">
      <selection activeCell="C10" sqref="C10"/>
    </sheetView>
  </sheetViews>
  <sheetFormatPr baseColWidth="10" defaultRowHeight="16" x14ac:dyDescent="0.2"/>
  <cols>
    <col min="1" max="1" width="11" bestFit="1" customWidth="1"/>
    <col min="2" max="2" width="22.1640625" style="3" customWidth="1"/>
    <col min="3" max="3" width="20" style="5" customWidth="1"/>
  </cols>
  <sheetData>
    <row r="1" spans="1:3" x14ac:dyDescent="0.2">
      <c r="A1" t="s">
        <v>868</v>
      </c>
      <c r="B1" s="3" t="s">
        <v>869</v>
      </c>
      <c r="C1" s="5" t="s">
        <v>870</v>
      </c>
    </row>
    <row r="2" spans="1:3" x14ac:dyDescent="0.2">
      <c r="A2" s="6">
        <v>44332</v>
      </c>
      <c r="B2" s="3">
        <f>SUM(Table10[Estimation Total])</f>
        <v>1411101384990</v>
      </c>
      <c r="C2" s="5">
        <f>CONVERT(B2,"byte","Gibyte")</f>
        <v>1314.1905749123544</v>
      </c>
    </row>
    <row r="3" spans="1:3" x14ac:dyDescent="0.2">
      <c r="A3" t="s">
        <v>871</v>
      </c>
      <c r="B3" s="3">
        <f>SUM(Table6[Estimation Total])</f>
        <v>1214549573823</v>
      </c>
      <c r="C3" s="5">
        <f>CONVERT(B3,"byte","Gibyte")</f>
        <v>1131.1374360909685</v>
      </c>
    </row>
    <row r="4" spans="1:3" x14ac:dyDescent="0.2">
      <c r="A4" t="s">
        <v>872</v>
      </c>
      <c r="B4" s="3">
        <f>SUM(Table7[Estimation Total])</f>
        <v>826322926485</v>
      </c>
      <c r="C4" s="5">
        <f>CONVERT(B4,"byte","Gibyte")</f>
        <v>769.57319535780698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B10"/>
  <sheetViews>
    <sheetView workbookViewId="0">
      <selection activeCell="B18" sqref="B18"/>
    </sheetView>
  </sheetViews>
  <sheetFormatPr baseColWidth="10" defaultRowHeight="16" x14ac:dyDescent="0.2"/>
  <cols>
    <col min="1" max="1" width="21" bestFit="1" customWidth="1"/>
    <col min="2" max="2" width="20" customWidth="1"/>
  </cols>
  <sheetData>
    <row r="1" spans="1:2" x14ac:dyDescent="0.2">
      <c r="A1" t="s">
        <v>854</v>
      </c>
      <c r="B1" t="s">
        <v>855</v>
      </c>
    </row>
    <row r="2" spans="1:2" x14ac:dyDescent="0.2">
      <c r="A2" t="s">
        <v>856</v>
      </c>
      <c r="B2">
        <v>1359</v>
      </c>
    </row>
    <row r="3" spans="1:2" x14ac:dyDescent="0.2">
      <c r="A3" t="s">
        <v>857</v>
      </c>
      <c r="B3">
        <v>1473</v>
      </c>
    </row>
    <row r="4" spans="1:2" x14ac:dyDescent="0.2">
      <c r="A4" t="s">
        <v>858</v>
      </c>
      <c r="B4">
        <v>6957</v>
      </c>
    </row>
    <row r="5" spans="1:2" x14ac:dyDescent="0.2">
      <c r="A5" t="s">
        <v>859</v>
      </c>
      <c r="B5">
        <v>295</v>
      </c>
    </row>
    <row r="6" spans="1:2" x14ac:dyDescent="0.2">
      <c r="A6" t="s">
        <v>860</v>
      </c>
      <c r="B6">
        <v>2226</v>
      </c>
    </row>
    <row r="7" spans="1:2" x14ac:dyDescent="0.2">
      <c r="A7" t="s">
        <v>861</v>
      </c>
      <c r="B7">
        <v>2407</v>
      </c>
    </row>
    <row r="8" spans="1:2" x14ac:dyDescent="0.2">
      <c r="A8" t="s">
        <v>13</v>
      </c>
      <c r="B8">
        <v>13502</v>
      </c>
    </row>
    <row r="9" spans="1:2" x14ac:dyDescent="0.2">
      <c r="A9" t="s">
        <v>14</v>
      </c>
      <c r="B9">
        <v>312</v>
      </c>
    </row>
    <row r="10" spans="1:2" x14ac:dyDescent="0.2">
      <c r="A10" t="s">
        <v>15</v>
      </c>
      <c r="B10">
        <v>337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cp_doc_counts_5-16-21</vt:lpstr>
      <vt:lpstr>5-16-21 Collection Byte Sizes</vt:lpstr>
      <vt:lpstr>documents_last_updated_2-16-21</vt:lpstr>
      <vt:lpstr>2-16-21 Collection Byte Sizes</vt:lpstr>
      <vt:lpstr>documents_last_updated_5-16-20</vt:lpstr>
      <vt:lpstr>5-16-20 Collection Byte Sizes</vt:lpstr>
      <vt:lpstr>Size Approximations</vt:lpstr>
      <vt:lpstr>Document Obj Sizes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Gianelle</dc:creator>
  <cp:lastModifiedBy>Chris Gianelle</cp:lastModifiedBy>
  <dcterms:created xsi:type="dcterms:W3CDTF">2021-05-21T21:27:24Z</dcterms:created>
  <dcterms:modified xsi:type="dcterms:W3CDTF">2021-06-11T19:50:52Z</dcterms:modified>
</cp:coreProperties>
</file>